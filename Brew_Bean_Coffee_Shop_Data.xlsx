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D4C90D-E29B-45CD-A32C-6F35F4F3F40F}" xr6:coauthVersionLast="47" xr6:coauthVersionMax="47" xr10:uidLastSave="{00000000-0000-0000-0000-000000000000}"/>
  <bookViews>
    <workbookView xWindow="-110" yWindow="-110" windowWidth="25820" windowHeight="13900" tabRatio="476" xr2:uid="{00000000-000D-0000-FFFF-FFFF00000000}"/>
  </bookViews>
  <sheets>
    <sheet name="Cleaned Sales Data" sheetId="3" r:id="rId1"/>
    <sheet name="Raw Sales Data" sheetId="1" r:id="rId2"/>
  </sheets>
  <calcPr calcId="191029"/>
  <pivotCaches>
    <pivotCache cacheId="24" r:id="rId3"/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G2" i="3"/>
  <c r="C3" i="3"/>
  <c r="D3" i="3"/>
  <c r="E3" i="3"/>
  <c r="G3" i="3"/>
  <c r="C4" i="3"/>
  <c r="D4" i="3"/>
  <c r="E4" i="3"/>
  <c r="G4" i="3"/>
  <c r="C5" i="3"/>
  <c r="D5" i="3"/>
  <c r="E5" i="3"/>
  <c r="G5" i="3"/>
  <c r="C6" i="3"/>
  <c r="D6" i="3"/>
  <c r="E6" i="3"/>
  <c r="G6" i="3"/>
  <c r="C7" i="3"/>
  <c r="D7" i="3"/>
  <c r="E7" i="3"/>
  <c r="G7" i="3"/>
  <c r="C8" i="3"/>
  <c r="D8" i="3"/>
  <c r="E8" i="3"/>
  <c r="G8" i="3"/>
  <c r="C9" i="3"/>
  <c r="D9" i="3"/>
  <c r="E9" i="3"/>
  <c r="G9" i="3"/>
  <c r="C10" i="3"/>
  <c r="D10" i="3"/>
  <c r="E10" i="3"/>
  <c r="G10" i="3"/>
  <c r="C11" i="3"/>
  <c r="D11" i="3"/>
  <c r="E11" i="3"/>
  <c r="G11" i="3"/>
  <c r="C12" i="3"/>
  <c r="D12" i="3"/>
  <c r="E12" i="3"/>
  <c r="G12" i="3"/>
  <c r="C13" i="3"/>
  <c r="D13" i="3"/>
  <c r="E13" i="3"/>
  <c r="G13" i="3"/>
  <c r="C14" i="3"/>
  <c r="D14" i="3"/>
  <c r="E14" i="3"/>
  <c r="G14" i="3"/>
  <c r="C15" i="3"/>
  <c r="D15" i="3"/>
  <c r="E15" i="3"/>
  <c r="G15" i="3"/>
  <c r="C16" i="3"/>
  <c r="D16" i="3"/>
  <c r="E16" i="3"/>
  <c r="G16" i="3"/>
  <c r="C17" i="3"/>
  <c r="D17" i="3"/>
  <c r="E17" i="3"/>
  <c r="G17" i="3"/>
  <c r="C18" i="3"/>
  <c r="D18" i="3"/>
  <c r="E18" i="3"/>
  <c r="G18" i="3"/>
  <c r="C19" i="3"/>
  <c r="D19" i="3"/>
  <c r="E19" i="3"/>
  <c r="G19" i="3"/>
  <c r="C20" i="3"/>
  <c r="D20" i="3"/>
  <c r="E20" i="3"/>
  <c r="G20" i="3"/>
  <c r="C21" i="3"/>
  <c r="D21" i="3"/>
  <c r="E21" i="3"/>
  <c r="G21" i="3"/>
  <c r="C22" i="3"/>
  <c r="D22" i="3"/>
  <c r="E22" i="3"/>
  <c r="G22" i="3"/>
  <c r="C23" i="3"/>
  <c r="D23" i="3"/>
  <c r="E23" i="3"/>
  <c r="G23" i="3"/>
  <c r="C24" i="3"/>
  <c r="D24" i="3"/>
  <c r="E24" i="3"/>
  <c r="G24" i="3"/>
  <c r="C25" i="3"/>
  <c r="D25" i="3"/>
  <c r="E25" i="3"/>
  <c r="G25" i="3"/>
  <c r="C26" i="3"/>
  <c r="D26" i="3"/>
  <c r="E26" i="3"/>
  <c r="G26" i="3"/>
  <c r="C27" i="3"/>
  <c r="D27" i="3"/>
  <c r="E27" i="3"/>
  <c r="G27" i="3"/>
  <c r="C28" i="3"/>
  <c r="D28" i="3"/>
  <c r="E28" i="3"/>
  <c r="G28" i="3"/>
  <c r="C29" i="3"/>
  <c r="D29" i="3"/>
  <c r="E29" i="3"/>
  <c r="G29" i="3"/>
  <c r="C30" i="3"/>
  <c r="D30" i="3"/>
  <c r="E30" i="3"/>
  <c r="G30" i="3"/>
  <c r="C31" i="3"/>
  <c r="D31" i="3"/>
  <c r="E31" i="3"/>
  <c r="G31" i="3"/>
  <c r="C32" i="3"/>
  <c r="D32" i="3"/>
  <c r="E32" i="3"/>
  <c r="G32" i="3"/>
  <c r="C33" i="3"/>
  <c r="D33" i="3"/>
  <c r="E33" i="3"/>
  <c r="G33" i="3"/>
  <c r="C34" i="3"/>
  <c r="D34" i="3"/>
  <c r="E34" i="3"/>
  <c r="G34" i="3"/>
  <c r="C35" i="3"/>
  <c r="D35" i="3"/>
  <c r="E35" i="3"/>
  <c r="G35" i="3"/>
  <c r="C36" i="3"/>
  <c r="D36" i="3"/>
  <c r="E36" i="3"/>
  <c r="G36" i="3"/>
  <c r="C37" i="3"/>
  <c r="D37" i="3"/>
  <c r="E37" i="3"/>
  <c r="G37" i="3"/>
  <c r="C38" i="3"/>
  <c r="D38" i="3"/>
  <c r="E38" i="3"/>
  <c r="G38" i="3"/>
  <c r="C39" i="3"/>
  <c r="D39" i="3"/>
  <c r="E39" i="3"/>
  <c r="G39" i="3"/>
  <c r="C40" i="3"/>
  <c r="D40" i="3"/>
  <c r="E40" i="3"/>
  <c r="G40" i="3"/>
  <c r="C41" i="3"/>
  <c r="D41" i="3"/>
  <c r="E41" i="3"/>
  <c r="G41" i="3"/>
  <c r="C42" i="3"/>
  <c r="D42" i="3"/>
  <c r="E42" i="3"/>
  <c r="G42" i="3"/>
  <c r="C43" i="3"/>
  <c r="D43" i="3"/>
  <c r="E43" i="3"/>
  <c r="G43" i="3"/>
  <c r="C44" i="3"/>
  <c r="D44" i="3"/>
  <c r="E44" i="3"/>
  <c r="G44" i="3"/>
  <c r="C45" i="3"/>
  <c r="D45" i="3"/>
  <c r="E45" i="3"/>
  <c r="G45" i="3"/>
  <c r="C46" i="3"/>
  <c r="D46" i="3"/>
  <c r="E46" i="3"/>
  <c r="G46" i="3"/>
  <c r="C47" i="3"/>
  <c r="D47" i="3"/>
  <c r="E47" i="3"/>
  <c r="G47" i="3"/>
  <c r="C48" i="3"/>
  <c r="D48" i="3"/>
  <c r="E48" i="3"/>
  <c r="G48" i="3"/>
  <c r="C49" i="3"/>
  <c r="D49" i="3"/>
  <c r="E49" i="3"/>
  <c r="G49" i="3"/>
  <c r="C50" i="3"/>
  <c r="D50" i="3"/>
  <c r="E50" i="3"/>
  <c r="G50" i="3"/>
  <c r="C51" i="3"/>
  <c r="D51" i="3"/>
  <c r="E51" i="3"/>
  <c r="G51" i="3"/>
  <c r="C52" i="3"/>
  <c r="D52" i="3"/>
  <c r="E52" i="3"/>
  <c r="G52" i="3"/>
  <c r="C53" i="3"/>
  <c r="D53" i="3"/>
  <c r="E53" i="3"/>
  <c r="G53" i="3"/>
  <c r="C54" i="3"/>
  <c r="D54" i="3"/>
  <c r="E54" i="3"/>
  <c r="G54" i="3"/>
  <c r="C55" i="3"/>
  <c r="D55" i="3"/>
  <c r="E55" i="3"/>
  <c r="G55" i="3"/>
  <c r="C56" i="3"/>
  <c r="D56" i="3"/>
  <c r="E56" i="3"/>
  <c r="G56" i="3"/>
  <c r="C57" i="3"/>
  <c r="D57" i="3"/>
  <c r="E57" i="3"/>
  <c r="G57" i="3"/>
  <c r="C58" i="3"/>
  <c r="D58" i="3"/>
  <c r="E58" i="3"/>
  <c r="G58" i="3"/>
  <c r="C59" i="3"/>
  <c r="D59" i="3"/>
  <c r="E59" i="3"/>
  <c r="G59" i="3"/>
  <c r="C60" i="3"/>
  <c r="D60" i="3"/>
  <c r="E60" i="3"/>
  <c r="G60" i="3"/>
  <c r="C61" i="3"/>
  <c r="D61" i="3"/>
  <c r="E61" i="3"/>
  <c r="G61" i="3"/>
  <c r="C62" i="3"/>
  <c r="D62" i="3"/>
  <c r="E62" i="3"/>
  <c r="G62" i="3"/>
  <c r="C63" i="3"/>
  <c r="D63" i="3"/>
  <c r="E63" i="3"/>
  <c r="G63" i="3"/>
  <c r="C64" i="3"/>
  <c r="D64" i="3"/>
  <c r="E64" i="3"/>
  <c r="G64" i="3"/>
  <c r="C65" i="3"/>
  <c r="D65" i="3"/>
  <c r="E65" i="3"/>
  <c r="G65" i="3"/>
  <c r="C66" i="3"/>
  <c r="D66" i="3"/>
  <c r="E66" i="3"/>
  <c r="G66" i="3"/>
  <c r="C67" i="3"/>
  <c r="D67" i="3"/>
  <c r="E67" i="3"/>
  <c r="G67" i="3"/>
  <c r="C68" i="3"/>
  <c r="D68" i="3"/>
  <c r="E68" i="3"/>
  <c r="G68" i="3"/>
  <c r="C69" i="3"/>
  <c r="D69" i="3"/>
  <c r="E69" i="3"/>
  <c r="G69" i="3"/>
  <c r="C70" i="3"/>
  <c r="D70" i="3"/>
  <c r="E70" i="3"/>
  <c r="G70" i="3"/>
  <c r="C71" i="3"/>
  <c r="D71" i="3"/>
  <c r="E71" i="3"/>
  <c r="G71" i="3"/>
  <c r="C72" i="3"/>
  <c r="D72" i="3"/>
  <c r="E72" i="3"/>
  <c r="G72" i="3"/>
  <c r="C73" i="3"/>
  <c r="D73" i="3"/>
  <c r="E73" i="3"/>
  <c r="G73" i="3"/>
  <c r="C74" i="3"/>
  <c r="D74" i="3"/>
  <c r="E74" i="3"/>
  <c r="G74" i="3"/>
  <c r="C75" i="3"/>
  <c r="D75" i="3"/>
  <c r="E75" i="3"/>
  <c r="G75" i="3"/>
  <c r="C76" i="3"/>
  <c r="D76" i="3"/>
  <c r="E76" i="3"/>
  <c r="G76" i="3"/>
  <c r="C77" i="3"/>
  <c r="D77" i="3"/>
  <c r="E77" i="3"/>
  <c r="G77" i="3"/>
  <c r="C78" i="3"/>
  <c r="D78" i="3"/>
  <c r="E78" i="3"/>
  <c r="G78" i="3"/>
  <c r="C79" i="3"/>
  <c r="D79" i="3"/>
  <c r="E79" i="3"/>
  <c r="G79" i="3"/>
  <c r="C80" i="3"/>
  <c r="D80" i="3"/>
  <c r="E80" i="3"/>
  <c r="G80" i="3"/>
  <c r="C81" i="3"/>
  <c r="D81" i="3"/>
  <c r="E81" i="3"/>
  <c r="G81" i="3"/>
  <c r="C82" i="3"/>
  <c r="D82" i="3"/>
  <c r="E82" i="3"/>
  <c r="G82" i="3"/>
  <c r="C83" i="3"/>
  <c r="D83" i="3"/>
  <c r="E83" i="3"/>
  <c r="G83" i="3"/>
  <c r="C84" i="3"/>
  <c r="D84" i="3"/>
  <c r="E84" i="3"/>
  <c r="G84" i="3"/>
  <c r="C85" i="3"/>
  <c r="D85" i="3"/>
  <c r="E85" i="3"/>
  <c r="G85" i="3"/>
  <c r="C86" i="3"/>
  <c r="D86" i="3"/>
  <c r="E86" i="3"/>
  <c r="G86" i="3"/>
  <c r="C87" i="3"/>
  <c r="D87" i="3"/>
  <c r="E87" i="3"/>
  <c r="G87" i="3"/>
  <c r="C88" i="3"/>
  <c r="D88" i="3"/>
  <c r="E88" i="3"/>
  <c r="G88" i="3"/>
  <c r="C89" i="3"/>
  <c r="D89" i="3"/>
  <c r="E89" i="3"/>
  <c r="G89" i="3"/>
  <c r="C90" i="3"/>
  <c r="D90" i="3"/>
  <c r="E90" i="3"/>
  <c r="G90" i="3"/>
  <c r="C91" i="3"/>
  <c r="D91" i="3"/>
  <c r="E91" i="3"/>
  <c r="G91" i="3"/>
  <c r="C92" i="3"/>
  <c r="D92" i="3"/>
  <c r="E92" i="3"/>
  <c r="G92" i="3"/>
  <c r="C93" i="3"/>
  <c r="D93" i="3"/>
  <c r="E93" i="3"/>
  <c r="G93" i="3"/>
  <c r="C94" i="3"/>
  <c r="D94" i="3"/>
  <c r="E94" i="3"/>
  <c r="G94" i="3"/>
  <c r="C95" i="3"/>
  <c r="D95" i="3"/>
  <c r="E95" i="3"/>
  <c r="G95" i="3"/>
  <c r="C96" i="3"/>
  <c r="D96" i="3"/>
  <c r="E96" i="3"/>
  <c r="G96" i="3"/>
  <c r="C97" i="3"/>
  <c r="D97" i="3"/>
  <c r="E97" i="3"/>
  <c r="G97" i="3"/>
  <c r="C98" i="3"/>
  <c r="D98" i="3"/>
  <c r="E98" i="3"/>
  <c r="G98" i="3"/>
  <c r="C99" i="3"/>
  <c r="D99" i="3"/>
  <c r="E99" i="3"/>
  <c r="G99" i="3"/>
  <c r="C100" i="3"/>
  <c r="D100" i="3"/>
  <c r="E100" i="3"/>
  <c r="G100" i="3"/>
  <c r="C101" i="3"/>
  <c r="D101" i="3"/>
  <c r="E101" i="3"/>
  <c r="G101" i="3"/>
  <c r="C102" i="3"/>
  <c r="D102" i="3"/>
  <c r="E102" i="3"/>
  <c r="G102" i="3"/>
  <c r="C103" i="3"/>
  <c r="D103" i="3"/>
  <c r="E103" i="3"/>
  <c r="G103" i="3"/>
  <c r="C104" i="3"/>
  <c r="D104" i="3"/>
  <c r="E104" i="3"/>
  <c r="G104" i="3"/>
  <c r="C105" i="3"/>
  <c r="D105" i="3"/>
  <c r="E105" i="3"/>
  <c r="G105" i="3"/>
  <c r="C106" i="3"/>
  <c r="D106" i="3"/>
  <c r="E106" i="3"/>
  <c r="G106" i="3"/>
  <c r="C107" i="3"/>
  <c r="D107" i="3"/>
  <c r="E107" i="3"/>
  <c r="G107" i="3"/>
  <c r="C108" i="3"/>
  <c r="D108" i="3"/>
  <c r="E108" i="3"/>
  <c r="G108" i="3"/>
  <c r="C109" i="3"/>
  <c r="D109" i="3"/>
  <c r="E109" i="3"/>
  <c r="G109" i="3"/>
  <c r="C110" i="3"/>
  <c r="D110" i="3"/>
  <c r="E110" i="3"/>
  <c r="G110" i="3"/>
  <c r="C111" i="3"/>
  <c r="D111" i="3"/>
  <c r="E111" i="3"/>
  <c r="G111" i="3"/>
  <c r="C112" i="3"/>
  <c r="D112" i="3"/>
  <c r="E112" i="3"/>
  <c r="G112" i="3"/>
  <c r="C113" i="3"/>
  <c r="D113" i="3"/>
  <c r="E113" i="3"/>
  <c r="G113" i="3"/>
  <c r="C114" i="3"/>
  <c r="D114" i="3"/>
  <c r="E114" i="3"/>
  <c r="G114" i="3"/>
  <c r="C115" i="3"/>
  <c r="D115" i="3"/>
  <c r="E115" i="3"/>
  <c r="G115" i="3"/>
  <c r="C116" i="3"/>
  <c r="D116" i="3"/>
  <c r="E116" i="3"/>
  <c r="G116" i="3"/>
  <c r="C117" i="3"/>
  <c r="D117" i="3"/>
  <c r="E117" i="3"/>
  <c r="G117" i="3"/>
  <c r="C118" i="3"/>
  <c r="D118" i="3"/>
  <c r="E118" i="3"/>
  <c r="G118" i="3"/>
  <c r="C119" i="3"/>
  <c r="D119" i="3"/>
  <c r="E119" i="3"/>
  <c r="G119" i="3"/>
  <c r="C120" i="3"/>
  <c r="D120" i="3"/>
  <c r="E120" i="3"/>
  <c r="G120" i="3"/>
  <c r="C121" i="3"/>
  <c r="D121" i="3"/>
  <c r="E121" i="3"/>
  <c r="G121" i="3"/>
  <c r="C122" i="3"/>
  <c r="D122" i="3"/>
  <c r="E122" i="3"/>
  <c r="G122" i="3"/>
  <c r="C123" i="3"/>
  <c r="D123" i="3"/>
  <c r="E123" i="3"/>
  <c r="G123" i="3"/>
  <c r="C124" i="3"/>
  <c r="D124" i="3"/>
  <c r="E124" i="3"/>
  <c r="G124" i="3"/>
  <c r="C125" i="3"/>
  <c r="D125" i="3"/>
  <c r="E125" i="3"/>
  <c r="G125" i="3"/>
  <c r="C126" i="3"/>
  <c r="D126" i="3"/>
  <c r="E126" i="3"/>
  <c r="G126" i="3"/>
  <c r="C127" i="3"/>
  <c r="D127" i="3"/>
  <c r="E127" i="3"/>
  <c r="G127" i="3"/>
  <c r="C128" i="3"/>
  <c r="D128" i="3"/>
  <c r="E128" i="3"/>
  <c r="G128" i="3"/>
  <c r="C129" i="3"/>
  <c r="D129" i="3"/>
  <c r="E129" i="3"/>
  <c r="G129" i="3"/>
  <c r="C130" i="3"/>
  <c r="D130" i="3"/>
  <c r="E130" i="3"/>
  <c r="G130" i="3"/>
  <c r="C131" i="3"/>
  <c r="D131" i="3"/>
  <c r="E131" i="3"/>
  <c r="G131" i="3"/>
  <c r="C132" i="3"/>
  <c r="D132" i="3"/>
  <c r="E132" i="3"/>
  <c r="G132" i="3"/>
  <c r="C133" i="3"/>
  <c r="D133" i="3"/>
  <c r="E133" i="3"/>
  <c r="G133" i="3"/>
  <c r="C134" i="3"/>
  <c r="D134" i="3"/>
  <c r="E134" i="3"/>
  <c r="G134" i="3"/>
  <c r="C135" i="3"/>
  <c r="D135" i="3"/>
  <c r="E135" i="3"/>
  <c r="G135" i="3"/>
  <c r="C136" i="3"/>
  <c r="D136" i="3"/>
  <c r="E136" i="3"/>
  <c r="G136" i="3"/>
  <c r="C137" i="3"/>
  <c r="D137" i="3"/>
  <c r="E137" i="3"/>
  <c r="G137" i="3"/>
  <c r="C138" i="3"/>
  <c r="D138" i="3"/>
  <c r="E138" i="3"/>
  <c r="G138" i="3"/>
  <c r="C139" i="3"/>
  <c r="D139" i="3"/>
  <c r="E139" i="3"/>
  <c r="G139" i="3"/>
  <c r="C140" i="3"/>
  <c r="D140" i="3"/>
  <c r="E140" i="3"/>
  <c r="G140" i="3"/>
  <c r="C141" i="3"/>
  <c r="D141" i="3"/>
  <c r="E141" i="3"/>
  <c r="G141" i="3"/>
  <c r="C142" i="3"/>
  <c r="D142" i="3"/>
  <c r="E142" i="3"/>
  <c r="G142" i="3"/>
  <c r="C143" i="3"/>
  <c r="D143" i="3"/>
  <c r="E143" i="3"/>
  <c r="G143" i="3"/>
  <c r="C144" i="3"/>
  <c r="D144" i="3"/>
  <c r="E144" i="3"/>
  <c r="G144" i="3"/>
  <c r="C145" i="3"/>
  <c r="D145" i="3"/>
  <c r="E145" i="3"/>
  <c r="G145" i="3"/>
  <c r="C146" i="3"/>
  <c r="D146" i="3"/>
  <c r="E146" i="3"/>
  <c r="G146" i="3"/>
  <c r="C147" i="3"/>
  <c r="D147" i="3"/>
  <c r="E147" i="3"/>
  <c r="G147" i="3"/>
  <c r="C148" i="3"/>
  <c r="D148" i="3"/>
  <c r="E148" i="3"/>
  <c r="G148" i="3"/>
  <c r="C149" i="3"/>
  <c r="D149" i="3"/>
  <c r="E149" i="3"/>
  <c r="G149" i="3"/>
  <c r="C150" i="3"/>
  <c r="D150" i="3"/>
  <c r="E150" i="3"/>
  <c r="G150" i="3"/>
  <c r="C151" i="3"/>
  <c r="D151" i="3"/>
  <c r="E151" i="3"/>
  <c r="G151" i="3"/>
  <c r="C152" i="3"/>
  <c r="D152" i="3"/>
  <c r="E152" i="3"/>
  <c r="G152" i="3"/>
  <c r="C153" i="3"/>
  <c r="D153" i="3"/>
  <c r="E153" i="3"/>
  <c r="G153" i="3"/>
  <c r="C154" i="3"/>
  <c r="D154" i="3"/>
  <c r="E154" i="3"/>
  <c r="G154" i="3"/>
  <c r="C155" i="3"/>
  <c r="D155" i="3"/>
  <c r="E155" i="3"/>
  <c r="G155" i="3"/>
  <c r="C156" i="3"/>
  <c r="D156" i="3"/>
  <c r="E156" i="3"/>
  <c r="G156" i="3"/>
  <c r="C157" i="3"/>
  <c r="D157" i="3"/>
  <c r="E157" i="3"/>
  <c r="G157" i="3"/>
  <c r="C158" i="3"/>
  <c r="D158" i="3"/>
  <c r="E158" i="3"/>
  <c r="G158" i="3"/>
  <c r="C159" i="3"/>
  <c r="D159" i="3"/>
  <c r="E159" i="3"/>
  <c r="G159" i="3"/>
  <c r="C160" i="3"/>
  <c r="D160" i="3"/>
  <c r="E160" i="3"/>
  <c r="G160" i="3"/>
  <c r="C161" i="3"/>
  <c r="D161" i="3"/>
  <c r="E161" i="3"/>
  <c r="G161" i="3"/>
  <c r="C162" i="3"/>
  <c r="D162" i="3"/>
  <c r="E162" i="3"/>
  <c r="G162" i="3"/>
  <c r="C163" i="3"/>
  <c r="D163" i="3"/>
  <c r="E163" i="3"/>
  <c r="G163" i="3"/>
  <c r="C164" i="3"/>
  <c r="D164" i="3"/>
  <c r="E164" i="3"/>
  <c r="G164" i="3"/>
  <c r="C165" i="3"/>
  <c r="D165" i="3"/>
  <c r="E165" i="3"/>
  <c r="G165" i="3"/>
  <c r="C166" i="3"/>
  <c r="D166" i="3"/>
  <c r="E166" i="3"/>
  <c r="G166" i="3"/>
  <c r="C167" i="3"/>
  <c r="D167" i="3"/>
  <c r="E167" i="3"/>
  <c r="G167" i="3"/>
  <c r="C168" i="3"/>
  <c r="D168" i="3"/>
  <c r="E168" i="3"/>
  <c r="G168" i="3"/>
  <c r="C169" i="3"/>
  <c r="D169" i="3"/>
  <c r="E169" i="3"/>
  <c r="G169" i="3"/>
  <c r="C170" i="3"/>
  <c r="D170" i="3"/>
  <c r="E170" i="3"/>
  <c r="G170" i="3"/>
  <c r="C171" i="3"/>
  <c r="D171" i="3"/>
  <c r="E171" i="3"/>
  <c r="G171" i="3"/>
  <c r="C172" i="3"/>
  <c r="D172" i="3"/>
  <c r="E172" i="3"/>
  <c r="G172" i="3"/>
  <c r="C173" i="3"/>
  <c r="D173" i="3"/>
  <c r="E173" i="3"/>
  <c r="G173" i="3"/>
  <c r="C174" i="3"/>
  <c r="D174" i="3"/>
  <c r="E174" i="3"/>
  <c r="G174" i="3"/>
  <c r="C175" i="3"/>
  <c r="D175" i="3"/>
  <c r="E175" i="3"/>
  <c r="G175" i="3"/>
  <c r="C176" i="3"/>
  <c r="D176" i="3"/>
  <c r="E176" i="3"/>
  <c r="G176" i="3"/>
  <c r="C177" i="3"/>
  <c r="D177" i="3"/>
  <c r="E177" i="3"/>
  <c r="G177" i="3"/>
  <c r="C178" i="3"/>
  <c r="D178" i="3"/>
  <c r="E178" i="3"/>
  <c r="G178" i="3"/>
  <c r="C179" i="3"/>
  <c r="D179" i="3"/>
  <c r="E179" i="3"/>
  <c r="G179" i="3"/>
  <c r="C180" i="3"/>
  <c r="D180" i="3"/>
  <c r="E180" i="3"/>
  <c r="G180" i="3"/>
  <c r="C181" i="3"/>
  <c r="D181" i="3"/>
  <c r="E181" i="3"/>
  <c r="G181" i="3"/>
  <c r="C182" i="3"/>
  <c r="D182" i="3"/>
  <c r="E182" i="3"/>
  <c r="G182" i="3"/>
  <c r="C183" i="3"/>
  <c r="D183" i="3"/>
  <c r="E183" i="3"/>
  <c r="G183" i="3"/>
  <c r="C184" i="3"/>
  <c r="D184" i="3"/>
  <c r="E184" i="3"/>
  <c r="G184" i="3"/>
  <c r="C185" i="3"/>
  <c r="D185" i="3"/>
  <c r="E185" i="3"/>
  <c r="G185" i="3"/>
  <c r="C186" i="3"/>
  <c r="D186" i="3"/>
  <c r="E186" i="3"/>
  <c r="G186" i="3"/>
  <c r="C187" i="3"/>
  <c r="D187" i="3"/>
  <c r="E187" i="3"/>
  <c r="G187" i="3"/>
  <c r="C188" i="3"/>
  <c r="D188" i="3"/>
  <c r="E188" i="3"/>
  <c r="G188" i="3"/>
  <c r="C189" i="3"/>
  <c r="D189" i="3"/>
  <c r="E189" i="3"/>
  <c r="G189" i="3"/>
  <c r="C190" i="3"/>
  <c r="D190" i="3"/>
  <c r="E190" i="3"/>
  <c r="G190" i="3"/>
  <c r="C191" i="3"/>
  <c r="D191" i="3"/>
  <c r="E191" i="3"/>
  <c r="G191" i="3"/>
  <c r="C192" i="3"/>
  <c r="D192" i="3"/>
  <c r="E192" i="3"/>
  <c r="G192" i="3"/>
  <c r="C193" i="3"/>
  <c r="D193" i="3"/>
  <c r="E193" i="3"/>
  <c r="G193" i="3"/>
  <c r="C194" i="3"/>
  <c r="D194" i="3"/>
  <c r="E194" i="3"/>
  <c r="G194" i="3"/>
  <c r="C195" i="3"/>
  <c r="D195" i="3"/>
  <c r="E195" i="3"/>
  <c r="G195" i="3"/>
  <c r="C196" i="3"/>
  <c r="D196" i="3"/>
  <c r="E196" i="3"/>
  <c r="G196" i="3"/>
  <c r="C197" i="3"/>
  <c r="D197" i="3"/>
  <c r="E197" i="3"/>
  <c r="G197" i="3"/>
  <c r="C198" i="3"/>
  <c r="D198" i="3"/>
  <c r="E198" i="3"/>
  <c r="G198" i="3"/>
  <c r="C199" i="3"/>
  <c r="D199" i="3"/>
  <c r="E199" i="3"/>
  <c r="G199" i="3"/>
  <c r="C200" i="3"/>
  <c r="D200" i="3"/>
  <c r="E200" i="3"/>
  <c r="G200" i="3"/>
  <c r="C201" i="3"/>
  <c r="D201" i="3"/>
  <c r="E201" i="3"/>
  <c r="G201" i="3"/>
  <c r="C202" i="3"/>
  <c r="D202" i="3"/>
  <c r="E202" i="3"/>
  <c r="G202" i="3"/>
  <c r="C203" i="3"/>
  <c r="D203" i="3"/>
  <c r="E203" i="3"/>
  <c r="G203" i="3"/>
  <c r="C204" i="3"/>
  <c r="D204" i="3"/>
  <c r="E204" i="3"/>
  <c r="G204" i="3"/>
  <c r="C205" i="3"/>
  <c r="D205" i="3"/>
  <c r="E205" i="3"/>
  <c r="G205" i="3"/>
  <c r="C206" i="3"/>
  <c r="D206" i="3"/>
  <c r="E206" i="3"/>
  <c r="G206" i="3"/>
  <c r="C207" i="3"/>
  <c r="D207" i="3"/>
  <c r="E207" i="3"/>
  <c r="G207" i="3"/>
  <c r="C208" i="3"/>
  <c r="D208" i="3"/>
  <c r="E208" i="3"/>
  <c r="G208" i="3"/>
  <c r="C209" i="3"/>
  <c r="D209" i="3"/>
  <c r="E209" i="3"/>
  <c r="G209" i="3"/>
  <c r="C210" i="3"/>
  <c r="D210" i="3"/>
  <c r="E210" i="3"/>
  <c r="G210" i="3"/>
  <c r="C211" i="3"/>
  <c r="D211" i="3"/>
  <c r="E211" i="3"/>
  <c r="G211" i="3"/>
  <c r="C212" i="3"/>
  <c r="D212" i="3"/>
  <c r="E212" i="3"/>
  <c r="G212" i="3"/>
  <c r="C213" i="3"/>
  <c r="D213" i="3"/>
  <c r="E213" i="3"/>
  <c r="G213" i="3"/>
  <c r="C214" i="3"/>
  <c r="D214" i="3"/>
  <c r="E214" i="3"/>
  <c r="G214" i="3"/>
  <c r="C215" i="3"/>
  <c r="D215" i="3"/>
  <c r="E215" i="3"/>
  <c r="G215" i="3"/>
  <c r="C216" i="3"/>
  <c r="D216" i="3"/>
  <c r="E216" i="3"/>
  <c r="G216" i="3"/>
  <c r="C217" i="3"/>
  <c r="D217" i="3"/>
  <c r="E217" i="3"/>
  <c r="G217" i="3"/>
  <c r="C218" i="3"/>
  <c r="D218" i="3"/>
  <c r="E218" i="3"/>
  <c r="G218" i="3"/>
  <c r="C219" i="3"/>
  <c r="D219" i="3"/>
  <c r="E219" i="3"/>
  <c r="G219" i="3"/>
  <c r="C220" i="3"/>
  <c r="D220" i="3"/>
  <c r="E220" i="3"/>
  <c r="G220" i="3"/>
  <c r="C221" i="3"/>
  <c r="D221" i="3"/>
  <c r="E221" i="3"/>
  <c r="G221" i="3"/>
  <c r="C222" i="3"/>
  <c r="D222" i="3"/>
  <c r="E222" i="3"/>
  <c r="G222" i="3"/>
  <c r="C223" i="3"/>
  <c r="D223" i="3"/>
  <c r="E223" i="3"/>
  <c r="G223" i="3"/>
  <c r="C224" i="3"/>
  <c r="D224" i="3"/>
  <c r="E224" i="3"/>
  <c r="G224" i="3"/>
  <c r="C225" i="3"/>
  <c r="D225" i="3"/>
  <c r="E225" i="3"/>
  <c r="G225" i="3"/>
  <c r="C226" i="3"/>
  <c r="D226" i="3"/>
  <c r="E226" i="3"/>
  <c r="G226" i="3"/>
  <c r="C227" i="3"/>
  <c r="D227" i="3"/>
  <c r="E227" i="3"/>
  <c r="G227" i="3"/>
  <c r="C228" i="3"/>
  <c r="D228" i="3"/>
  <c r="E228" i="3"/>
  <c r="G228" i="3"/>
  <c r="C229" i="3"/>
  <c r="D229" i="3"/>
  <c r="E229" i="3"/>
  <c r="G229" i="3"/>
  <c r="C230" i="3"/>
  <c r="D230" i="3"/>
  <c r="E230" i="3"/>
  <c r="G230" i="3"/>
  <c r="C231" i="3"/>
  <c r="D231" i="3"/>
  <c r="E231" i="3"/>
  <c r="G231" i="3"/>
  <c r="C232" i="3"/>
  <c r="D232" i="3"/>
  <c r="E232" i="3"/>
  <c r="G232" i="3"/>
  <c r="C233" i="3"/>
  <c r="D233" i="3"/>
  <c r="E233" i="3"/>
  <c r="G233" i="3"/>
  <c r="C234" i="3"/>
  <c r="D234" i="3"/>
  <c r="E234" i="3"/>
  <c r="G234" i="3"/>
  <c r="C235" i="3"/>
  <c r="D235" i="3"/>
  <c r="E235" i="3"/>
  <c r="G235" i="3"/>
  <c r="C236" i="3"/>
  <c r="D236" i="3"/>
  <c r="E236" i="3"/>
  <c r="G236" i="3"/>
  <c r="C237" i="3"/>
  <c r="D237" i="3"/>
  <c r="E237" i="3"/>
  <c r="G237" i="3"/>
  <c r="C238" i="3"/>
  <c r="D238" i="3"/>
  <c r="E238" i="3"/>
  <c r="G238" i="3"/>
  <c r="C239" i="3"/>
  <c r="D239" i="3"/>
  <c r="E239" i="3"/>
  <c r="G239" i="3"/>
  <c r="C240" i="3"/>
  <c r="D240" i="3"/>
  <c r="E240" i="3"/>
  <c r="G240" i="3"/>
  <c r="C241" i="3"/>
  <c r="D241" i="3"/>
  <c r="E241" i="3"/>
  <c r="G241" i="3"/>
  <c r="C242" i="3"/>
  <c r="D242" i="3"/>
  <c r="E242" i="3"/>
  <c r="G242" i="3"/>
  <c r="C243" i="3"/>
  <c r="D243" i="3"/>
  <c r="E243" i="3"/>
  <c r="G243" i="3"/>
  <c r="C244" i="3"/>
  <c r="D244" i="3"/>
  <c r="E244" i="3"/>
  <c r="G244" i="3"/>
  <c r="C245" i="3"/>
  <c r="D245" i="3"/>
  <c r="E245" i="3"/>
  <c r="G245" i="3"/>
  <c r="C246" i="3"/>
  <c r="D246" i="3"/>
  <c r="E246" i="3"/>
  <c r="G246" i="3"/>
  <c r="C247" i="3"/>
  <c r="D247" i="3"/>
  <c r="E247" i="3"/>
  <c r="G247" i="3"/>
  <c r="C248" i="3"/>
  <c r="D248" i="3"/>
  <c r="E248" i="3"/>
  <c r="G248" i="3"/>
  <c r="C249" i="3"/>
  <c r="D249" i="3"/>
  <c r="E249" i="3"/>
  <c r="G249" i="3"/>
  <c r="C250" i="3"/>
  <c r="D250" i="3"/>
  <c r="E250" i="3"/>
  <c r="G250" i="3"/>
  <c r="C251" i="3"/>
  <c r="D251" i="3"/>
  <c r="E251" i="3"/>
  <c r="G251" i="3"/>
  <c r="C252" i="3"/>
  <c r="D252" i="3"/>
  <c r="E252" i="3"/>
  <c r="G252" i="3"/>
  <c r="C253" i="3"/>
  <c r="D253" i="3"/>
  <c r="E253" i="3"/>
  <c r="G253" i="3"/>
  <c r="C254" i="3"/>
  <c r="D254" i="3"/>
  <c r="E254" i="3"/>
  <c r="G254" i="3"/>
  <c r="C255" i="3"/>
  <c r="D255" i="3"/>
  <c r="E255" i="3"/>
  <c r="G255" i="3"/>
  <c r="C256" i="3"/>
  <c r="D256" i="3"/>
  <c r="E256" i="3"/>
  <c r="G256" i="3"/>
  <c r="C257" i="3"/>
  <c r="D257" i="3"/>
  <c r="E257" i="3"/>
  <c r="G257" i="3"/>
  <c r="C258" i="3"/>
  <c r="D258" i="3"/>
  <c r="E258" i="3"/>
  <c r="G258" i="3"/>
  <c r="C259" i="3"/>
  <c r="D259" i="3"/>
  <c r="E259" i="3"/>
  <c r="G259" i="3"/>
  <c r="C260" i="3"/>
  <c r="D260" i="3"/>
  <c r="E260" i="3"/>
  <c r="G260" i="3"/>
  <c r="C261" i="3"/>
  <c r="D261" i="3"/>
  <c r="E261" i="3"/>
  <c r="G261" i="3"/>
  <c r="C262" i="3"/>
  <c r="D262" i="3"/>
  <c r="E262" i="3"/>
  <c r="G262" i="3"/>
  <c r="C263" i="3"/>
  <c r="D263" i="3"/>
  <c r="E263" i="3"/>
  <c r="G263" i="3"/>
  <c r="C264" i="3"/>
  <c r="D264" i="3"/>
  <c r="E264" i="3"/>
  <c r="G264" i="3"/>
  <c r="C265" i="3"/>
  <c r="D265" i="3"/>
  <c r="E265" i="3"/>
  <c r="G265" i="3"/>
  <c r="C266" i="3"/>
  <c r="D266" i="3"/>
  <c r="E266" i="3"/>
  <c r="G266" i="3"/>
  <c r="C267" i="3"/>
  <c r="D267" i="3"/>
  <c r="E267" i="3"/>
  <c r="G267" i="3"/>
  <c r="C268" i="3"/>
  <c r="D268" i="3"/>
  <c r="E268" i="3"/>
  <c r="G268" i="3"/>
  <c r="C269" i="3"/>
  <c r="D269" i="3"/>
  <c r="E269" i="3"/>
  <c r="G269" i="3"/>
  <c r="C270" i="3"/>
  <c r="D270" i="3"/>
  <c r="E270" i="3"/>
  <c r="G270" i="3"/>
  <c r="C271" i="3"/>
  <c r="D271" i="3"/>
  <c r="E271" i="3"/>
  <c r="G271" i="3"/>
  <c r="C272" i="3"/>
  <c r="D272" i="3"/>
  <c r="E272" i="3"/>
  <c r="G272" i="3"/>
  <c r="C273" i="3"/>
  <c r="D273" i="3"/>
  <c r="E273" i="3"/>
  <c r="G273" i="3"/>
  <c r="C274" i="3"/>
  <c r="D274" i="3"/>
  <c r="E274" i="3"/>
  <c r="G274" i="3"/>
  <c r="C275" i="3"/>
  <c r="D275" i="3"/>
  <c r="E275" i="3"/>
  <c r="G275" i="3"/>
  <c r="C276" i="3"/>
  <c r="D276" i="3"/>
  <c r="E276" i="3"/>
  <c r="G276" i="3"/>
  <c r="C277" i="3"/>
  <c r="D277" i="3"/>
  <c r="E277" i="3"/>
  <c r="G277" i="3"/>
  <c r="C278" i="3"/>
  <c r="D278" i="3"/>
  <c r="E278" i="3"/>
  <c r="G278" i="3"/>
  <c r="C279" i="3"/>
  <c r="D279" i="3"/>
  <c r="E279" i="3"/>
  <c r="G279" i="3"/>
  <c r="C280" i="3"/>
  <c r="D280" i="3"/>
  <c r="E280" i="3"/>
  <c r="G280" i="3"/>
  <c r="C281" i="3"/>
  <c r="D281" i="3"/>
  <c r="E281" i="3"/>
  <c r="G281" i="3"/>
  <c r="C282" i="3"/>
  <c r="D282" i="3"/>
  <c r="E282" i="3"/>
  <c r="G282" i="3"/>
  <c r="C283" i="3"/>
  <c r="D283" i="3"/>
  <c r="E283" i="3"/>
  <c r="G283" i="3"/>
  <c r="C284" i="3"/>
  <c r="D284" i="3"/>
  <c r="E284" i="3"/>
  <c r="G284" i="3"/>
  <c r="C285" i="3"/>
  <c r="D285" i="3"/>
  <c r="E285" i="3"/>
  <c r="G285" i="3"/>
  <c r="C286" i="3"/>
  <c r="D286" i="3"/>
  <c r="E286" i="3"/>
  <c r="G286" i="3"/>
  <c r="C287" i="3"/>
  <c r="D287" i="3"/>
  <c r="E287" i="3"/>
  <c r="G287" i="3"/>
  <c r="C288" i="3"/>
  <c r="D288" i="3"/>
  <c r="E288" i="3"/>
  <c r="G288" i="3"/>
  <c r="C289" i="3"/>
  <c r="D289" i="3"/>
  <c r="E289" i="3"/>
  <c r="G289" i="3"/>
  <c r="C290" i="3"/>
  <c r="D290" i="3"/>
  <c r="E290" i="3"/>
  <c r="G290" i="3"/>
  <c r="C291" i="3"/>
  <c r="D291" i="3"/>
  <c r="E291" i="3"/>
  <c r="G291" i="3"/>
  <c r="C292" i="3"/>
  <c r="D292" i="3"/>
  <c r="E292" i="3"/>
  <c r="G292" i="3"/>
  <c r="C293" i="3"/>
  <c r="D293" i="3"/>
  <c r="E293" i="3"/>
  <c r="G293" i="3"/>
  <c r="C294" i="3"/>
  <c r="D294" i="3"/>
  <c r="E294" i="3"/>
  <c r="G294" i="3"/>
  <c r="C295" i="3"/>
  <c r="D295" i="3"/>
  <c r="E295" i="3"/>
  <c r="G295" i="3"/>
  <c r="C296" i="3"/>
  <c r="D296" i="3"/>
  <c r="E296" i="3"/>
  <c r="G296" i="3"/>
  <c r="C297" i="3"/>
  <c r="D297" i="3"/>
  <c r="E297" i="3"/>
  <c r="G297" i="3"/>
  <c r="C298" i="3"/>
  <c r="D298" i="3"/>
  <c r="E298" i="3"/>
  <c r="G298" i="3"/>
  <c r="C299" i="3"/>
  <c r="D299" i="3"/>
  <c r="E299" i="3"/>
  <c r="G299" i="3"/>
  <c r="C300" i="3"/>
  <c r="D300" i="3"/>
  <c r="E300" i="3"/>
  <c r="G300" i="3"/>
  <c r="C301" i="3"/>
  <c r="D301" i="3"/>
  <c r="E301" i="3"/>
  <c r="G301" i="3"/>
  <c r="C302" i="3"/>
  <c r="D302" i="3"/>
  <c r="E302" i="3"/>
  <c r="G302" i="3"/>
  <c r="C303" i="3"/>
  <c r="D303" i="3"/>
  <c r="E303" i="3"/>
  <c r="G303" i="3"/>
  <c r="C304" i="3"/>
  <c r="D304" i="3"/>
  <c r="E304" i="3"/>
  <c r="G304" i="3"/>
  <c r="C305" i="3"/>
  <c r="D305" i="3"/>
  <c r="E305" i="3"/>
  <c r="G305" i="3"/>
  <c r="C306" i="3"/>
  <c r="D306" i="3"/>
  <c r="E306" i="3"/>
  <c r="G306" i="3"/>
  <c r="C307" i="3"/>
  <c r="D307" i="3"/>
  <c r="E307" i="3"/>
  <c r="G307" i="3"/>
  <c r="C308" i="3"/>
  <c r="D308" i="3"/>
  <c r="E308" i="3"/>
  <c r="G308" i="3"/>
  <c r="C309" i="3"/>
  <c r="D309" i="3"/>
  <c r="E309" i="3"/>
  <c r="G309" i="3"/>
  <c r="C310" i="3"/>
  <c r="D310" i="3"/>
  <c r="E310" i="3"/>
  <c r="G310" i="3"/>
  <c r="C311" i="3"/>
  <c r="D311" i="3"/>
  <c r="E311" i="3"/>
  <c r="G311" i="3"/>
  <c r="C312" i="3"/>
  <c r="D312" i="3"/>
  <c r="E312" i="3"/>
  <c r="G312" i="3"/>
  <c r="C313" i="3"/>
  <c r="D313" i="3"/>
  <c r="E313" i="3"/>
  <c r="G313" i="3"/>
  <c r="C314" i="3"/>
  <c r="D314" i="3"/>
  <c r="E314" i="3"/>
  <c r="G314" i="3"/>
  <c r="C315" i="3"/>
  <c r="D315" i="3"/>
  <c r="E315" i="3"/>
  <c r="G315" i="3"/>
  <c r="C316" i="3"/>
  <c r="D316" i="3"/>
  <c r="E316" i="3"/>
  <c r="G316" i="3"/>
  <c r="C317" i="3"/>
  <c r="D317" i="3"/>
  <c r="E317" i="3"/>
  <c r="G317" i="3"/>
  <c r="C318" i="3"/>
  <c r="D318" i="3"/>
  <c r="E318" i="3"/>
  <c r="G318" i="3"/>
  <c r="C319" i="3"/>
  <c r="D319" i="3"/>
  <c r="E319" i="3"/>
  <c r="G319" i="3"/>
  <c r="C320" i="3"/>
  <c r="D320" i="3"/>
  <c r="E320" i="3"/>
  <c r="G320" i="3"/>
  <c r="C321" i="3"/>
  <c r="D321" i="3"/>
  <c r="E321" i="3"/>
  <c r="G321" i="3"/>
  <c r="C322" i="3"/>
  <c r="D322" i="3"/>
  <c r="E322" i="3"/>
  <c r="G322" i="3"/>
  <c r="C323" i="3"/>
  <c r="D323" i="3"/>
  <c r="E323" i="3"/>
  <c r="G323" i="3"/>
  <c r="C324" i="3"/>
  <c r="D324" i="3"/>
  <c r="E324" i="3"/>
  <c r="G324" i="3"/>
  <c r="C325" i="3"/>
  <c r="D325" i="3"/>
  <c r="E325" i="3"/>
  <c r="G325" i="3"/>
  <c r="C326" i="3"/>
  <c r="D326" i="3"/>
  <c r="E326" i="3"/>
  <c r="G326" i="3"/>
  <c r="C327" i="3"/>
  <c r="D327" i="3"/>
  <c r="E327" i="3"/>
  <c r="G327" i="3"/>
  <c r="C328" i="3"/>
  <c r="D328" i="3"/>
  <c r="E328" i="3"/>
  <c r="G328" i="3"/>
  <c r="C329" i="3"/>
  <c r="D329" i="3"/>
  <c r="E329" i="3"/>
  <c r="G329" i="3"/>
  <c r="C330" i="3"/>
  <c r="D330" i="3"/>
  <c r="E330" i="3"/>
  <c r="G330" i="3"/>
  <c r="C331" i="3"/>
  <c r="D331" i="3"/>
  <c r="E331" i="3"/>
  <c r="G331" i="3"/>
  <c r="C332" i="3"/>
  <c r="D332" i="3"/>
  <c r="E332" i="3"/>
  <c r="G332" i="3"/>
  <c r="C333" i="3"/>
  <c r="D333" i="3"/>
  <c r="E333" i="3"/>
  <c r="G333" i="3"/>
  <c r="C334" i="3"/>
  <c r="D334" i="3"/>
  <c r="E334" i="3"/>
  <c r="G334" i="3"/>
  <c r="C335" i="3"/>
  <c r="D335" i="3"/>
  <c r="E335" i="3"/>
  <c r="G335" i="3"/>
  <c r="C336" i="3"/>
  <c r="D336" i="3"/>
  <c r="E336" i="3"/>
  <c r="G336" i="3"/>
  <c r="C337" i="3"/>
  <c r="D337" i="3"/>
  <c r="E337" i="3"/>
  <c r="G337" i="3"/>
  <c r="C338" i="3"/>
  <c r="D338" i="3"/>
  <c r="E338" i="3"/>
  <c r="G338" i="3"/>
  <c r="C339" i="3"/>
  <c r="D339" i="3"/>
  <c r="E339" i="3"/>
  <c r="G339" i="3"/>
  <c r="C340" i="3"/>
  <c r="D340" i="3"/>
  <c r="E340" i="3"/>
  <c r="G340" i="3"/>
  <c r="C341" i="3"/>
  <c r="D341" i="3"/>
  <c r="E341" i="3"/>
  <c r="G341" i="3"/>
  <c r="C342" i="3"/>
  <c r="D342" i="3"/>
  <c r="E342" i="3"/>
  <c r="G342" i="3"/>
  <c r="C343" i="3"/>
  <c r="D343" i="3"/>
  <c r="E343" i="3"/>
  <c r="G343" i="3"/>
  <c r="C344" i="3"/>
  <c r="D344" i="3"/>
  <c r="E344" i="3"/>
  <c r="G344" i="3"/>
  <c r="C345" i="3"/>
  <c r="D345" i="3"/>
  <c r="E345" i="3"/>
  <c r="G345" i="3"/>
  <c r="C346" i="3"/>
  <c r="D346" i="3"/>
  <c r="E346" i="3"/>
  <c r="G346" i="3"/>
  <c r="C347" i="3"/>
  <c r="D347" i="3"/>
  <c r="E347" i="3"/>
  <c r="G347" i="3"/>
  <c r="C348" i="3"/>
  <c r="D348" i="3"/>
  <c r="E348" i="3"/>
  <c r="G348" i="3"/>
  <c r="C349" i="3"/>
  <c r="D349" i="3"/>
  <c r="E349" i="3"/>
  <c r="G349" i="3"/>
  <c r="C350" i="3"/>
  <c r="D350" i="3"/>
  <c r="E350" i="3"/>
  <c r="G350" i="3"/>
  <c r="C351" i="3"/>
  <c r="D351" i="3"/>
  <c r="E351" i="3"/>
  <c r="G351" i="3"/>
  <c r="C352" i="3"/>
  <c r="D352" i="3"/>
  <c r="E352" i="3"/>
  <c r="G352" i="3"/>
  <c r="C353" i="3"/>
  <c r="D353" i="3"/>
  <c r="E353" i="3"/>
  <c r="G353" i="3"/>
  <c r="C354" i="3"/>
  <c r="D354" i="3"/>
  <c r="E354" i="3"/>
  <c r="G354" i="3"/>
  <c r="C355" i="3"/>
  <c r="D355" i="3"/>
  <c r="E355" i="3"/>
  <c r="G355" i="3"/>
  <c r="C356" i="3"/>
  <c r="D356" i="3"/>
  <c r="E356" i="3"/>
  <c r="G356" i="3"/>
  <c r="C357" i="3"/>
  <c r="D357" i="3"/>
  <c r="E357" i="3"/>
  <c r="G357" i="3"/>
  <c r="C358" i="3"/>
  <c r="D358" i="3"/>
  <c r="E358" i="3"/>
  <c r="G358" i="3"/>
  <c r="C359" i="3"/>
  <c r="D359" i="3"/>
  <c r="E359" i="3"/>
  <c r="G359" i="3"/>
  <c r="C360" i="3"/>
  <c r="D360" i="3"/>
  <c r="E360" i="3"/>
  <c r="G360" i="3"/>
  <c r="C361" i="3"/>
  <c r="D361" i="3"/>
  <c r="E361" i="3"/>
  <c r="G361" i="3"/>
  <c r="C362" i="3"/>
  <c r="D362" i="3"/>
  <c r="E362" i="3"/>
  <c r="G362" i="3"/>
  <c r="C363" i="3"/>
  <c r="D363" i="3"/>
  <c r="E363" i="3"/>
  <c r="G363" i="3"/>
  <c r="C364" i="3"/>
  <c r="D364" i="3"/>
  <c r="E364" i="3"/>
  <c r="G364" i="3"/>
  <c r="C365" i="3"/>
  <c r="D365" i="3"/>
  <c r="E365" i="3"/>
  <c r="G365" i="3"/>
  <c r="C366" i="3"/>
  <c r="D366" i="3"/>
  <c r="E366" i="3"/>
  <c r="G366" i="3"/>
  <c r="C367" i="3"/>
  <c r="D367" i="3"/>
  <c r="E367" i="3"/>
  <c r="G367" i="3"/>
  <c r="C368" i="3"/>
  <c r="D368" i="3"/>
  <c r="E368" i="3"/>
  <c r="G368" i="3"/>
  <c r="C369" i="3"/>
  <c r="D369" i="3"/>
  <c r="E369" i="3"/>
  <c r="G369" i="3"/>
  <c r="C370" i="3"/>
  <c r="D370" i="3"/>
  <c r="E370" i="3"/>
  <c r="G370" i="3"/>
  <c r="C371" i="3"/>
  <c r="D371" i="3"/>
  <c r="E371" i="3"/>
  <c r="G371" i="3"/>
  <c r="C372" i="3"/>
  <c r="D372" i="3"/>
  <c r="E372" i="3"/>
  <c r="G372" i="3"/>
  <c r="C373" i="3"/>
  <c r="D373" i="3"/>
  <c r="E373" i="3"/>
  <c r="G373" i="3"/>
  <c r="C374" i="3"/>
  <c r="D374" i="3"/>
  <c r="E374" i="3"/>
  <c r="G374" i="3"/>
  <c r="C375" i="3"/>
  <c r="D375" i="3"/>
  <c r="E375" i="3"/>
  <c r="G375" i="3"/>
  <c r="C376" i="3"/>
  <c r="D376" i="3"/>
  <c r="E376" i="3"/>
  <c r="G376" i="3"/>
  <c r="C377" i="3"/>
  <c r="D377" i="3"/>
  <c r="E377" i="3"/>
  <c r="G377" i="3"/>
  <c r="C378" i="3"/>
  <c r="D378" i="3"/>
  <c r="E378" i="3"/>
  <c r="G378" i="3"/>
  <c r="C379" i="3"/>
  <c r="D379" i="3"/>
  <c r="E379" i="3"/>
  <c r="G379" i="3"/>
  <c r="C380" i="3"/>
  <c r="D380" i="3"/>
  <c r="E380" i="3"/>
  <c r="G380" i="3"/>
  <c r="C381" i="3"/>
  <c r="D381" i="3"/>
  <c r="E381" i="3"/>
  <c r="G381" i="3"/>
  <c r="C382" i="3"/>
  <c r="D382" i="3"/>
  <c r="E382" i="3"/>
  <c r="G382" i="3"/>
  <c r="C383" i="3"/>
  <c r="D383" i="3"/>
  <c r="E383" i="3"/>
  <c r="G383" i="3"/>
  <c r="C384" i="3"/>
  <c r="D384" i="3"/>
  <c r="E384" i="3"/>
  <c r="G384" i="3"/>
  <c r="C385" i="3"/>
  <c r="D385" i="3"/>
  <c r="E385" i="3"/>
  <c r="G385" i="3"/>
  <c r="C386" i="3"/>
  <c r="D386" i="3"/>
  <c r="E386" i="3"/>
  <c r="G386" i="3"/>
  <c r="C387" i="3"/>
  <c r="D387" i="3"/>
  <c r="E387" i="3"/>
  <c r="G387" i="3"/>
  <c r="C388" i="3"/>
  <c r="D388" i="3"/>
  <c r="E388" i="3"/>
  <c r="G388" i="3"/>
  <c r="C389" i="3"/>
  <c r="D389" i="3"/>
  <c r="E389" i="3"/>
  <c r="G389" i="3"/>
  <c r="C390" i="3"/>
  <c r="D390" i="3"/>
  <c r="E390" i="3"/>
  <c r="G390" i="3"/>
  <c r="C391" i="3"/>
  <c r="D391" i="3"/>
  <c r="E391" i="3"/>
  <c r="G391" i="3"/>
  <c r="C392" i="3"/>
  <c r="D392" i="3"/>
  <c r="E392" i="3"/>
  <c r="G392" i="3"/>
  <c r="C393" i="3"/>
  <c r="D393" i="3"/>
  <c r="E393" i="3"/>
  <c r="G393" i="3"/>
  <c r="C394" i="3"/>
  <c r="D394" i="3"/>
  <c r="E394" i="3"/>
  <c r="G394" i="3"/>
  <c r="C395" i="3"/>
  <c r="D395" i="3"/>
  <c r="E395" i="3"/>
  <c r="G395" i="3"/>
  <c r="C396" i="3"/>
  <c r="D396" i="3"/>
  <c r="E396" i="3"/>
  <c r="G396" i="3"/>
  <c r="C397" i="3"/>
  <c r="D397" i="3"/>
  <c r="E397" i="3"/>
  <c r="G397" i="3"/>
  <c r="C398" i="3"/>
  <c r="D398" i="3"/>
  <c r="E398" i="3"/>
  <c r="G398" i="3"/>
  <c r="C399" i="3"/>
  <c r="D399" i="3"/>
  <c r="E399" i="3"/>
  <c r="G399" i="3"/>
  <c r="C400" i="3"/>
  <c r="D400" i="3"/>
  <c r="E400" i="3"/>
  <c r="G400" i="3"/>
  <c r="C401" i="3"/>
  <c r="D401" i="3"/>
  <c r="E401" i="3"/>
  <c r="G401" i="3"/>
  <c r="C402" i="3"/>
  <c r="D402" i="3"/>
  <c r="E402" i="3"/>
  <c r="G402" i="3"/>
  <c r="C403" i="3"/>
  <c r="D403" i="3"/>
  <c r="E403" i="3"/>
  <c r="G403" i="3"/>
  <c r="C404" i="3"/>
  <c r="D404" i="3"/>
  <c r="E404" i="3"/>
  <c r="G404" i="3"/>
  <c r="C405" i="3"/>
  <c r="D405" i="3"/>
  <c r="E405" i="3"/>
  <c r="G405" i="3"/>
  <c r="C406" i="3"/>
  <c r="D406" i="3"/>
  <c r="E406" i="3"/>
  <c r="G406" i="3"/>
  <c r="C407" i="3"/>
  <c r="D407" i="3"/>
  <c r="E407" i="3"/>
  <c r="G407" i="3"/>
  <c r="C408" i="3"/>
  <c r="D408" i="3"/>
  <c r="E408" i="3"/>
  <c r="G408" i="3"/>
  <c r="C409" i="3"/>
  <c r="D409" i="3"/>
  <c r="E409" i="3"/>
  <c r="G409" i="3"/>
  <c r="C410" i="3"/>
  <c r="D410" i="3"/>
  <c r="E410" i="3"/>
  <c r="G410" i="3"/>
  <c r="C411" i="3"/>
  <c r="D411" i="3"/>
  <c r="E411" i="3"/>
  <c r="G411" i="3"/>
  <c r="C412" i="3"/>
  <c r="D412" i="3"/>
  <c r="E412" i="3"/>
  <c r="G412" i="3"/>
  <c r="C413" i="3"/>
  <c r="D413" i="3"/>
  <c r="E413" i="3"/>
  <c r="G413" i="3"/>
  <c r="C414" i="3"/>
  <c r="D414" i="3"/>
  <c r="E414" i="3"/>
  <c r="G414" i="3"/>
  <c r="C415" i="3"/>
  <c r="D415" i="3"/>
  <c r="E415" i="3"/>
  <c r="G415" i="3"/>
  <c r="C416" i="3"/>
  <c r="D416" i="3"/>
  <c r="E416" i="3"/>
  <c r="G416" i="3"/>
  <c r="C417" i="3"/>
  <c r="D417" i="3"/>
  <c r="E417" i="3"/>
  <c r="G417" i="3"/>
  <c r="C418" i="3"/>
  <c r="D418" i="3"/>
  <c r="E418" i="3"/>
  <c r="G418" i="3"/>
  <c r="C419" i="3"/>
  <c r="D419" i="3"/>
  <c r="E419" i="3"/>
  <c r="G419" i="3"/>
  <c r="C420" i="3"/>
  <c r="D420" i="3"/>
  <c r="E420" i="3"/>
  <c r="G420" i="3"/>
  <c r="C421" i="3"/>
  <c r="D421" i="3"/>
  <c r="E421" i="3"/>
  <c r="G421" i="3"/>
  <c r="C422" i="3"/>
  <c r="D422" i="3"/>
  <c r="E422" i="3"/>
  <c r="G422" i="3"/>
  <c r="C423" i="3"/>
  <c r="D423" i="3"/>
  <c r="E423" i="3"/>
  <c r="G423" i="3"/>
  <c r="C424" i="3"/>
  <c r="D424" i="3"/>
  <c r="E424" i="3"/>
  <c r="G424" i="3"/>
  <c r="C425" i="3"/>
  <c r="D425" i="3"/>
  <c r="E425" i="3"/>
  <c r="G425" i="3"/>
  <c r="C426" i="3"/>
  <c r="D426" i="3"/>
  <c r="E426" i="3"/>
  <c r="G426" i="3"/>
  <c r="C427" i="3"/>
  <c r="D427" i="3"/>
  <c r="E427" i="3"/>
  <c r="G427" i="3"/>
  <c r="C428" i="3"/>
  <c r="D428" i="3"/>
  <c r="E428" i="3"/>
  <c r="G428" i="3"/>
  <c r="C429" i="3"/>
  <c r="D429" i="3"/>
  <c r="E429" i="3"/>
  <c r="G429" i="3"/>
  <c r="C430" i="3"/>
  <c r="D430" i="3"/>
  <c r="E430" i="3"/>
  <c r="G430" i="3"/>
  <c r="C431" i="3"/>
  <c r="D431" i="3"/>
  <c r="E431" i="3"/>
  <c r="G431" i="3"/>
  <c r="C432" i="3"/>
  <c r="D432" i="3"/>
  <c r="E432" i="3"/>
  <c r="G432" i="3"/>
  <c r="C433" i="3"/>
  <c r="D433" i="3"/>
  <c r="E433" i="3"/>
  <c r="G433" i="3"/>
  <c r="C434" i="3"/>
  <c r="D434" i="3"/>
  <c r="E434" i="3"/>
  <c r="G434" i="3"/>
  <c r="C435" i="3"/>
  <c r="D435" i="3"/>
  <c r="E435" i="3"/>
  <c r="G435" i="3"/>
  <c r="C436" i="3"/>
  <c r="D436" i="3"/>
  <c r="E436" i="3"/>
  <c r="G436" i="3"/>
  <c r="C437" i="3"/>
  <c r="D437" i="3"/>
  <c r="E437" i="3"/>
  <c r="G437" i="3"/>
  <c r="C438" i="3"/>
  <c r="D438" i="3"/>
  <c r="E438" i="3"/>
  <c r="G438" i="3"/>
  <c r="C439" i="3"/>
  <c r="D439" i="3"/>
  <c r="E439" i="3"/>
  <c r="G439" i="3"/>
  <c r="C440" i="3"/>
  <c r="D440" i="3"/>
  <c r="E440" i="3"/>
  <c r="G440" i="3"/>
  <c r="C441" i="3"/>
  <c r="D441" i="3"/>
  <c r="E441" i="3"/>
  <c r="G441" i="3"/>
  <c r="C442" i="3"/>
  <c r="D442" i="3"/>
  <c r="E442" i="3"/>
  <c r="G442" i="3"/>
  <c r="C443" i="3"/>
  <c r="D443" i="3"/>
  <c r="E443" i="3"/>
  <c r="G443" i="3"/>
  <c r="C444" i="3"/>
  <c r="D444" i="3"/>
  <c r="E444" i="3"/>
  <c r="G444" i="3"/>
  <c r="C445" i="3"/>
  <c r="D445" i="3"/>
  <c r="E445" i="3"/>
  <c r="G445" i="3"/>
  <c r="C446" i="3"/>
  <c r="D446" i="3"/>
  <c r="E446" i="3"/>
  <c r="G446" i="3"/>
  <c r="C447" i="3"/>
  <c r="D447" i="3"/>
  <c r="E447" i="3"/>
  <c r="G447" i="3"/>
  <c r="C448" i="3"/>
  <c r="D448" i="3"/>
  <c r="E448" i="3"/>
  <c r="G448" i="3"/>
  <c r="C449" i="3"/>
  <c r="D449" i="3"/>
  <c r="E449" i="3"/>
  <c r="G449" i="3"/>
  <c r="C450" i="3"/>
  <c r="D450" i="3"/>
  <c r="E450" i="3"/>
  <c r="G450" i="3"/>
  <c r="C451" i="3"/>
  <c r="D451" i="3"/>
  <c r="E451" i="3"/>
  <c r="G451" i="3"/>
  <c r="C452" i="3"/>
  <c r="D452" i="3"/>
  <c r="E452" i="3"/>
  <c r="G452" i="3"/>
  <c r="C453" i="3"/>
  <c r="D453" i="3"/>
  <c r="E453" i="3"/>
  <c r="G453" i="3"/>
  <c r="C454" i="3"/>
  <c r="D454" i="3"/>
  <c r="E454" i="3"/>
  <c r="G454" i="3"/>
  <c r="C455" i="3"/>
  <c r="D455" i="3"/>
  <c r="E455" i="3"/>
  <c r="G455" i="3"/>
  <c r="C456" i="3"/>
  <c r="D456" i="3"/>
  <c r="E456" i="3"/>
  <c r="G456" i="3"/>
  <c r="C457" i="3"/>
  <c r="D457" i="3"/>
  <c r="E457" i="3"/>
  <c r="G457" i="3"/>
  <c r="C458" i="3"/>
  <c r="D458" i="3"/>
  <c r="E458" i="3"/>
  <c r="G458" i="3"/>
  <c r="C459" i="3"/>
  <c r="D459" i="3"/>
  <c r="E459" i="3"/>
  <c r="G459" i="3"/>
  <c r="C460" i="3"/>
  <c r="D460" i="3"/>
  <c r="E460" i="3"/>
  <c r="G460" i="3"/>
  <c r="C461" i="3"/>
  <c r="D461" i="3"/>
  <c r="E461" i="3"/>
  <c r="G461" i="3"/>
  <c r="C462" i="3"/>
  <c r="D462" i="3"/>
  <c r="E462" i="3"/>
  <c r="G462" i="3"/>
  <c r="C463" i="3"/>
  <c r="D463" i="3"/>
  <c r="E463" i="3"/>
  <c r="G463" i="3"/>
  <c r="C464" i="3"/>
  <c r="D464" i="3"/>
  <c r="E464" i="3"/>
  <c r="G464" i="3"/>
  <c r="C465" i="3"/>
  <c r="D465" i="3"/>
  <c r="E465" i="3"/>
  <c r="G465" i="3"/>
  <c r="C466" i="3"/>
  <c r="D466" i="3"/>
  <c r="E466" i="3"/>
  <c r="G466" i="3"/>
  <c r="C467" i="3"/>
  <c r="D467" i="3"/>
  <c r="E467" i="3"/>
  <c r="G467" i="3"/>
  <c r="C468" i="3"/>
  <c r="D468" i="3"/>
  <c r="E468" i="3"/>
  <c r="G468" i="3"/>
  <c r="C469" i="3"/>
  <c r="D469" i="3"/>
  <c r="E469" i="3"/>
  <c r="G469" i="3"/>
  <c r="C470" i="3"/>
  <c r="D470" i="3"/>
  <c r="E470" i="3"/>
  <c r="G470" i="3"/>
  <c r="C471" i="3"/>
  <c r="D471" i="3"/>
  <c r="E471" i="3"/>
  <c r="G471" i="3"/>
  <c r="C472" i="3"/>
  <c r="D472" i="3"/>
  <c r="E472" i="3"/>
  <c r="G472" i="3"/>
  <c r="C473" i="3"/>
  <c r="D473" i="3"/>
  <c r="E473" i="3"/>
  <c r="G473" i="3"/>
  <c r="C474" i="3"/>
  <c r="D474" i="3"/>
  <c r="E474" i="3"/>
  <c r="G474" i="3"/>
  <c r="C475" i="3"/>
  <c r="D475" i="3"/>
  <c r="E475" i="3"/>
  <c r="G475" i="3"/>
  <c r="C476" i="3"/>
  <c r="D476" i="3"/>
  <c r="E476" i="3"/>
  <c r="G476" i="3"/>
  <c r="C477" i="3"/>
  <c r="D477" i="3"/>
  <c r="E477" i="3"/>
  <c r="G477" i="3"/>
  <c r="C478" i="3"/>
  <c r="D478" i="3"/>
  <c r="E478" i="3"/>
  <c r="G478" i="3"/>
  <c r="C479" i="3"/>
  <c r="D479" i="3"/>
  <c r="E479" i="3"/>
  <c r="G479" i="3"/>
  <c r="C480" i="3"/>
  <c r="D480" i="3"/>
  <c r="E480" i="3"/>
  <c r="G480" i="3"/>
  <c r="C481" i="3"/>
  <c r="D481" i="3"/>
  <c r="E481" i="3"/>
  <c r="G481" i="3"/>
  <c r="C482" i="3"/>
  <c r="D482" i="3"/>
  <c r="E482" i="3"/>
  <c r="G482" i="3"/>
  <c r="C483" i="3"/>
  <c r="D483" i="3"/>
  <c r="E483" i="3"/>
  <c r="G483" i="3"/>
  <c r="C484" i="3"/>
  <c r="D484" i="3"/>
  <c r="E484" i="3"/>
  <c r="G484" i="3"/>
  <c r="C485" i="3"/>
  <c r="D485" i="3"/>
  <c r="E485" i="3"/>
  <c r="G485" i="3"/>
  <c r="C486" i="3"/>
  <c r="D486" i="3"/>
  <c r="E486" i="3"/>
  <c r="G486" i="3"/>
  <c r="C487" i="3"/>
  <c r="D487" i="3"/>
  <c r="E487" i="3"/>
  <c r="G487" i="3"/>
  <c r="C488" i="3"/>
  <c r="D488" i="3"/>
  <c r="E488" i="3"/>
  <c r="G488" i="3"/>
  <c r="C489" i="3"/>
  <c r="D489" i="3"/>
  <c r="E489" i="3"/>
  <c r="G489" i="3"/>
  <c r="C490" i="3"/>
  <c r="D490" i="3"/>
  <c r="E490" i="3"/>
  <c r="G490" i="3"/>
  <c r="C491" i="3"/>
  <c r="D491" i="3"/>
  <c r="E491" i="3"/>
  <c r="G491" i="3"/>
  <c r="C492" i="3"/>
  <c r="D492" i="3"/>
  <c r="E492" i="3"/>
  <c r="G492" i="3"/>
  <c r="C493" i="3"/>
  <c r="D493" i="3"/>
  <c r="E493" i="3"/>
  <c r="G493" i="3"/>
  <c r="C494" i="3"/>
  <c r="D494" i="3"/>
  <c r="E494" i="3"/>
  <c r="G494" i="3"/>
  <c r="C495" i="3"/>
  <c r="D495" i="3"/>
  <c r="E495" i="3"/>
  <c r="G495" i="3"/>
  <c r="C496" i="3"/>
  <c r="D496" i="3"/>
  <c r="E496" i="3"/>
  <c r="G496" i="3"/>
  <c r="C497" i="3"/>
  <c r="D497" i="3"/>
  <c r="E497" i="3"/>
  <c r="G497" i="3"/>
  <c r="C498" i="3"/>
  <c r="D498" i="3"/>
  <c r="E498" i="3"/>
  <c r="G498" i="3"/>
  <c r="C499" i="3"/>
  <c r="D499" i="3"/>
  <c r="E499" i="3"/>
  <c r="G499" i="3"/>
  <c r="C500" i="3"/>
  <c r="D500" i="3"/>
  <c r="E500" i="3"/>
  <c r="G500" i="3"/>
  <c r="C501" i="3"/>
  <c r="D501" i="3"/>
  <c r="E501" i="3"/>
  <c r="G501" i="3"/>
  <c r="C502" i="3"/>
  <c r="D502" i="3"/>
  <c r="E502" i="3"/>
  <c r="G502" i="3"/>
  <c r="C503" i="3"/>
  <c r="D503" i="3"/>
  <c r="E503" i="3"/>
  <c r="G503" i="3"/>
  <c r="C504" i="3"/>
  <c r="D504" i="3"/>
  <c r="E504" i="3"/>
  <c r="G504" i="3"/>
  <c r="C505" i="3"/>
  <c r="D505" i="3"/>
  <c r="E505" i="3"/>
  <c r="G505" i="3"/>
  <c r="C506" i="3"/>
  <c r="D506" i="3"/>
  <c r="E506" i="3"/>
  <c r="G506" i="3"/>
  <c r="C507" i="3"/>
  <c r="D507" i="3"/>
  <c r="E507" i="3"/>
  <c r="G507" i="3"/>
  <c r="C508" i="3"/>
  <c r="D508" i="3"/>
  <c r="E508" i="3"/>
  <c r="G508" i="3"/>
  <c r="C509" i="3"/>
  <c r="D509" i="3"/>
  <c r="E509" i="3"/>
  <c r="G509" i="3"/>
  <c r="C510" i="3"/>
  <c r="D510" i="3"/>
  <c r="E510" i="3"/>
  <c r="G510" i="3"/>
  <c r="C511" i="3"/>
  <c r="D511" i="3"/>
  <c r="E511" i="3"/>
  <c r="G511" i="3"/>
  <c r="C512" i="3"/>
  <c r="D512" i="3"/>
  <c r="E512" i="3"/>
  <c r="G512" i="3"/>
  <c r="C513" i="3"/>
  <c r="D513" i="3"/>
  <c r="E513" i="3"/>
  <c r="G513" i="3"/>
  <c r="C514" i="3"/>
  <c r="D514" i="3"/>
  <c r="E514" i="3"/>
  <c r="G514" i="3"/>
  <c r="C515" i="3"/>
  <c r="D515" i="3"/>
  <c r="E515" i="3"/>
  <c r="G515" i="3"/>
  <c r="C516" i="3"/>
  <c r="D516" i="3"/>
  <c r="E516" i="3"/>
  <c r="G516" i="3"/>
  <c r="C517" i="3"/>
  <c r="D517" i="3"/>
  <c r="E517" i="3"/>
  <c r="G517" i="3"/>
  <c r="C518" i="3"/>
  <c r="D518" i="3"/>
  <c r="E518" i="3"/>
  <c r="G518" i="3"/>
  <c r="C519" i="3"/>
  <c r="D519" i="3"/>
  <c r="E519" i="3"/>
  <c r="G519" i="3"/>
  <c r="C520" i="3"/>
  <c r="D520" i="3"/>
  <c r="E520" i="3"/>
  <c r="G520" i="3"/>
  <c r="C521" i="3"/>
  <c r="D521" i="3"/>
  <c r="E521" i="3"/>
  <c r="G521" i="3"/>
  <c r="C522" i="3"/>
  <c r="D522" i="3"/>
  <c r="E522" i="3"/>
  <c r="G522" i="3"/>
  <c r="C523" i="3"/>
  <c r="D523" i="3"/>
  <c r="E523" i="3"/>
  <c r="G523" i="3"/>
  <c r="C524" i="3"/>
  <c r="D524" i="3"/>
  <c r="E524" i="3"/>
  <c r="G524" i="3"/>
  <c r="C525" i="3"/>
  <c r="D525" i="3"/>
  <c r="E525" i="3"/>
  <c r="G525" i="3"/>
  <c r="C526" i="3"/>
  <c r="D526" i="3"/>
  <c r="E526" i="3"/>
  <c r="G526" i="3"/>
  <c r="C527" i="3"/>
  <c r="D527" i="3"/>
  <c r="E527" i="3"/>
  <c r="G527" i="3"/>
  <c r="C528" i="3"/>
  <c r="D528" i="3"/>
  <c r="E528" i="3"/>
  <c r="G528" i="3"/>
  <c r="C529" i="3"/>
  <c r="D529" i="3"/>
  <c r="E529" i="3"/>
  <c r="G529" i="3"/>
  <c r="C530" i="3"/>
  <c r="D530" i="3"/>
  <c r="E530" i="3"/>
  <c r="G530" i="3"/>
  <c r="C531" i="3"/>
  <c r="D531" i="3"/>
  <c r="E531" i="3"/>
  <c r="G531" i="3"/>
  <c r="C532" i="3"/>
  <c r="D532" i="3"/>
  <c r="E532" i="3"/>
  <c r="G532" i="3"/>
  <c r="C533" i="3"/>
  <c r="D533" i="3"/>
  <c r="E533" i="3"/>
  <c r="G533" i="3"/>
  <c r="C534" i="3"/>
  <c r="D534" i="3"/>
  <c r="E534" i="3"/>
  <c r="G534" i="3"/>
  <c r="C535" i="3"/>
  <c r="D535" i="3"/>
  <c r="E535" i="3"/>
  <c r="G535" i="3"/>
  <c r="C536" i="3"/>
  <c r="D536" i="3"/>
  <c r="E536" i="3"/>
  <c r="G536" i="3"/>
  <c r="C537" i="3"/>
  <c r="D537" i="3"/>
  <c r="E537" i="3"/>
  <c r="G537" i="3"/>
  <c r="C538" i="3"/>
  <c r="D538" i="3"/>
  <c r="E538" i="3"/>
  <c r="G538" i="3"/>
  <c r="C539" i="3"/>
  <c r="D539" i="3"/>
  <c r="E539" i="3"/>
  <c r="G539" i="3"/>
  <c r="C540" i="3"/>
  <c r="D540" i="3"/>
  <c r="E540" i="3"/>
  <c r="G540" i="3"/>
  <c r="C541" i="3"/>
  <c r="D541" i="3"/>
  <c r="E541" i="3"/>
  <c r="G541" i="3"/>
  <c r="C542" i="3"/>
  <c r="D542" i="3"/>
  <c r="E542" i="3"/>
  <c r="G542" i="3"/>
  <c r="C543" i="3"/>
  <c r="D543" i="3"/>
  <c r="E543" i="3"/>
  <c r="G543" i="3"/>
  <c r="C544" i="3"/>
  <c r="D544" i="3"/>
  <c r="E544" i="3"/>
  <c r="G544" i="3"/>
  <c r="C545" i="3"/>
  <c r="D545" i="3"/>
  <c r="E545" i="3"/>
  <c r="G545" i="3"/>
  <c r="C546" i="3"/>
  <c r="D546" i="3"/>
  <c r="E546" i="3"/>
  <c r="G546" i="3"/>
  <c r="C547" i="3"/>
  <c r="D547" i="3"/>
  <c r="E547" i="3"/>
  <c r="G547" i="3"/>
  <c r="C548" i="3"/>
  <c r="D548" i="3"/>
  <c r="E548" i="3"/>
  <c r="G548" i="3"/>
  <c r="C549" i="3"/>
  <c r="D549" i="3"/>
  <c r="E549" i="3"/>
  <c r="G549" i="3"/>
  <c r="C550" i="3"/>
  <c r="D550" i="3"/>
  <c r="E550" i="3"/>
  <c r="G550" i="3"/>
  <c r="C551" i="3"/>
  <c r="D551" i="3"/>
  <c r="E551" i="3"/>
  <c r="G551" i="3"/>
</calcChain>
</file>

<file path=xl/sharedStrings.xml><?xml version="1.0" encoding="utf-8"?>
<sst xmlns="http://schemas.openxmlformats.org/spreadsheetml/2006/main" count="7758" uniqueCount="1037">
  <si>
    <t>Transaction_ID</t>
  </si>
  <si>
    <t>Order_Date</t>
  </si>
  <si>
    <t>Order_Time</t>
  </si>
  <si>
    <t>Product_Name</t>
  </si>
  <si>
    <t>Category</t>
  </si>
  <si>
    <t>Quantity</t>
  </si>
  <si>
    <t>Unit_Price_RM</t>
  </si>
  <si>
    <t>Payment_Method</t>
  </si>
  <si>
    <t>Order_Type</t>
  </si>
  <si>
    <t>Total_Amount_RM</t>
  </si>
  <si>
    <t>BB0168</t>
  </si>
  <si>
    <t>2026-08-01</t>
  </si>
  <si>
    <t>08:40:00</t>
  </si>
  <si>
    <t>Caramel Macchiato</t>
  </si>
  <si>
    <t>Coffee</t>
  </si>
  <si>
    <t>Card</t>
  </si>
  <si>
    <t>Takeaway</t>
  </si>
  <si>
    <t>BB0337</t>
  </si>
  <si>
    <t>09:24:00</t>
  </si>
  <si>
    <t>BB0116</t>
  </si>
  <si>
    <t>09:44:00</t>
  </si>
  <si>
    <t>Cappuccino</t>
  </si>
  <si>
    <t>BB0303</t>
  </si>
  <si>
    <t>11:41:00</t>
  </si>
  <si>
    <t>Matcha Latte</t>
  </si>
  <si>
    <t>Non-Coffee</t>
  </si>
  <si>
    <t>E-Wallet</t>
  </si>
  <si>
    <t>BB0259</t>
  </si>
  <si>
    <t>11:59:00</t>
  </si>
  <si>
    <t>Chocolate Muffin</t>
  </si>
  <si>
    <t>Pastry</t>
  </si>
  <si>
    <t>BB0429</t>
  </si>
  <si>
    <t>13:17:00</t>
  </si>
  <si>
    <t>BB0448</t>
  </si>
  <si>
    <t>13:27:00</t>
  </si>
  <si>
    <t>Latte</t>
  </si>
  <si>
    <t>BB0546</t>
  </si>
  <si>
    <t>14:24:00</t>
  </si>
  <si>
    <t>Americano</t>
  </si>
  <si>
    <t>BB0014</t>
  </si>
  <si>
    <t>15:13:00</t>
  </si>
  <si>
    <t>Cash</t>
  </si>
  <si>
    <t>BB0064</t>
  </si>
  <si>
    <t>15:24:00</t>
  </si>
  <si>
    <t>Dine-In</t>
  </si>
  <si>
    <t>BB0073</t>
  </si>
  <si>
    <t>16:21:00</t>
  </si>
  <si>
    <t>BB0175</t>
  </si>
  <si>
    <t>16:35:00</t>
  </si>
  <si>
    <t>BB0443</t>
  </si>
  <si>
    <t>19:13:00</t>
  </si>
  <si>
    <t>Espresso</t>
  </si>
  <si>
    <t>BB0401</t>
  </si>
  <si>
    <t>19:54:00</t>
  </si>
  <si>
    <t>Croissant</t>
  </si>
  <si>
    <t>BB0301</t>
  </si>
  <si>
    <t>2026-08-02</t>
  </si>
  <si>
    <t>08:23:00</t>
  </si>
  <si>
    <t>BB0197</t>
  </si>
  <si>
    <t>09:03:00</t>
  </si>
  <si>
    <t>BB0467</t>
  </si>
  <si>
    <t>10:43:00</t>
  </si>
  <si>
    <t>Brownie</t>
  </si>
  <si>
    <t>Dessert</t>
  </si>
  <si>
    <t>BB0254</t>
  </si>
  <si>
    <t>10:58:00</t>
  </si>
  <si>
    <t>BB0019</t>
  </si>
  <si>
    <t>11:28:00</t>
  </si>
  <si>
    <t>BB0318</t>
  </si>
  <si>
    <t>12:35:00</t>
  </si>
  <si>
    <t>BB0209</t>
  </si>
  <si>
    <t>13:33:00</t>
  </si>
  <si>
    <t>Mocha</t>
  </si>
  <si>
    <t>BB0306</t>
  </si>
  <si>
    <t>15:39:00</t>
  </si>
  <si>
    <t>BB0513</t>
  </si>
  <si>
    <t>16:44:00</t>
  </si>
  <si>
    <t>BB0338</t>
  </si>
  <si>
    <t>17:40:00</t>
  </si>
  <si>
    <t>BB0018</t>
  </si>
  <si>
    <t>18:03:00</t>
  </si>
  <si>
    <t>BB0092</t>
  </si>
  <si>
    <t>18:55:00</t>
  </si>
  <si>
    <t>BB0475</t>
  </si>
  <si>
    <t>19:02:00</t>
  </si>
  <si>
    <t>BB0223</t>
  </si>
  <si>
    <t>BB0384</t>
  </si>
  <si>
    <t>2026-08-03</t>
  </si>
  <si>
    <t>10:05:00</t>
  </si>
  <si>
    <t>BB0263</t>
  </si>
  <si>
    <t>10:32:00</t>
  </si>
  <si>
    <t>BB0054</t>
  </si>
  <si>
    <t>10:34:00</t>
  </si>
  <si>
    <t>BB0325</t>
  </si>
  <si>
    <t>10:53:00</t>
  </si>
  <si>
    <t>BB0465</t>
  </si>
  <si>
    <t>12:14:00</t>
  </si>
  <si>
    <t>BB0399</t>
  </si>
  <si>
    <t>14:20:00</t>
  </si>
  <si>
    <t>BB0112</t>
  </si>
  <si>
    <t>15:23:00</t>
  </si>
  <si>
    <t>BB0237</t>
  </si>
  <si>
    <t>16:46:00</t>
  </si>
  <si>
    <t>BB0484</t>
  </si>
  <si>
    <t>16:55:00</t>
  </si>
  <si>
    <t>Chocolate</t>
  </si>
  <si>
    <t>BB0421</t>
  </si>
  <si>
    <t>17:55:00</t>
  </si>
  <si>
    <t>BB0428</t>
  </si>
  <si>
    <t>18:30:00</t>
  </si>
  <si>
    <t>BB0091</t>
  </si>
  <si>
    <t>2026-08-04</t>
  </si>
  <si>
    <t>09:11:00</t>
  </si>
  <si>
    <t>BB0011</t>
  </si>
  <si>
    <t>10:31:00</t>
  </si>
  <si>
    <t>Cheesecake</t>
  </si>
  <si>
    <t>BB0388</t>
  </si>
  <si>
    <t>11:17:00</t>
  </si>
  <si>
    <t>BB0461</t>
  </si>
  <si>
    <t>11:48:00</t>
  </si>
  <si>
    <t>BB0281</t>
  </si>
  <si>
    <t>12:36:00</t>
  </si>
  <si>
    <t>BB0101</t>
  </si>
  <si>
    <t>14:06:00</t>
  </si>
  <si>
    <t>BB0108</t>
  </si>
  <si>
    <t>15:01:00</t>
  </si>
  <si>
    <t>BB0087</t>
  </si>
  <si>
    <t>15:14:00</t>
  </si>
  <si>
    <t>BB0527</t>
  </si>
  <si>
    <t>16:01:00</t>
  </si>
  <si>
    <t>BB0359</t>
  </si>
  <si>
    <t>16:51:00</t>
  </si>
  <si>
    <t>BB0470</t>
  </si>
  <si>
    <t>18:38:00</t>
  </si>
  <si>
    <t>BB0045</t>
  </si>
  <si>
    <t>18:54:00</t>
  </si>
  <si>
    <t>BB0341</t>
  </si>
  <si>
    <t>19:47:00</t>
  </si>
  <si>
    <t>BB0342</t>
  </si>
  <si>
    <t>19:57:00</t>
  </si>
  <si>
    <t>BB0453</t>
  </si>
  <si>
    <t>2026-08-05</t>
  </si>
  <si>
    <t>08:33:00</t>
  </si>
  <si>
    <t>BB0261</t>
  </si>
  <si>
    <t>10:14:00</t>
  </si>
  <si>
    <t>BB0074</t>
  </si>
  <si>
    <t>11:26:00</t>
  </si>
  <si>
    <t>latte</t>
  </si>
  <si>
    <t>BB0162</t>
  </si>
  <si>
    <t>11:32:00</t>
  </si>
  <si>
    <t>BB0458</t>
  </si>
  <si>
    <t>13:21:00</t>
  </si>
  <si>
    <t>BB0514</t>
  </si>
  <si>
    <t>13:58:00</t>
  </si>
  <si>
    <t>BB0147</t>
  </si>
  <si>
    <t>14:11:00</t>
  </si>
  <si>
    <t>BB0027</t>
  </si>
  <si>
    <t>14:36:00</t>
  </si>
  <si>
    <t>BB0276</t>
  </si>
  <si>
    <t>14:59:00</t>
  </si>
  <si>
    <t>BB0201</t>
  </si>
  <si>
    <t>16:10:00</t>
  </si>
  <si>
    <t>BB0495</t>
  </si>
  <si>
    <t>16:39:00</t>
  </si>
  <si>
    <t>BB0265</t>
  </si>
  <si>
    <t>17:03:00</t>
  </si>
  <si>
    <t>BB0512</t>
  </si>
  <si>
    <t>2026-08-06</t>
  </si>
  <si>
    <t>08:21:00</t>
  </si>
  <si>
    <t>BB0180</t>
  </si>
  <si>
    <t>08:34:00</t>
  </si>
  <si>
    <t>BB0302</t>
  </si>
  <si>
    <t>09:20:00</t>
  </si>
  <si>
    <t>BB0329</t>
  </si>
  <si>
    <t>10:20:00</t>
  </si>
  <si>
    <t>BB0386</t>
  </si>
  <si>
    <t>11:23:00</t>
  </si>
  <si>
    <t>BB0492</t>
  </si>
  <si>
    <t>12:11:00</t>
  </si>
  <si>
    <t>BB0043</t>
  </si>
  <si>
    <t>13:12:00</t>
  </si>
  <si>
    <t>BB0098</t>
  </si>
  <si>
    <t>13:24:00</t>
  </si>
  <si>
    <t>BB0146</t>
  </si>
  <si>
    <t>BB0200</t>
  </si>
  <si>
    <t>15:17:00</t>
  </si>
  <si>
    <t>BB0379</t>
  </si>
  <si>
    <t>BB0407</t>
  </si>
  <si>
    <t>15:50:00</t>
  </si>
  <si>
    <t>BB0256</t>
  </si>
  <si>
    <t>16:45:00</t>
  </si>
  <si>
    <t>BB0089</t>
  </si>
  <si>
    <t>17:35:00</t>
  </si>
  <si>
    <t>BB0488</t>
  </si>
  <si>
    <t>17:54:00</t>
  </si>
  <si>
    <t>BB0517</t>
  </si>
  <si>
    <t>2026-08-07</t>
  </si>
  <si>
    <t>08:26:00</t>
  </si>
  <si>
    <t>BB0041</t>
  </si>
  <si>
    <t>10:51:00</t>
  </si>
  <si>
    <t>BB0436</t>
  </si>
  <si>
    <t>11:57:00</t>
  </si>
  <si>
    <t>BB0285</t>
  </si>
  <si>
    <t>13:20:00</t>
  </si>
  <si>
    <t>BB0157</t>
  </si>
  <si>
    <t>13:31:00</t>
  </si>
  <si>
    <t>BB0393</t>
  </si>
  <si>
    <t>BB0240</t>
  </si>
  <si>
    <t>15:03:00</t>
  </si>
  <si>
    <t>BB0539</t>
  </si>
  <si>
    <t>BB0048</t>
  </si>
  <si>
    <t>18:09:00</t>
  </si>
  <si>
    <t>BB0192</t>
  </si>
  <si>
    <t>2026-08-08</t>
  </si>
  <si>
    <t>08:29:00</t>
  </si>
  <si>
    <t>BB0227</t>
  </si>
  <si>
    <t>10:11:00</t>
  </si>
  <si>
    <t>BB0374</t>
  </si>
  <si>
    <t>10:46:00</t>
  </si>
  <si>
    <t>BB0522</t>
  </si>
  <si>
    <t>BB0391</t>
  </si>
  <si>
    <t>11:49:00</t>
  </si>
  <si>
    <t>BB0535</t>
  </si>
  <si>
    <t>11:54:00</t>
  </si>
  <si>
    <t>BB0476</t>
  </si>
  <si>
    <t>16:14:00</t>
  </si>
  <si>
    <t>BB0198</t>
  </si>
  <si>
    <t>BB0360</t>
  </si>
  <si>
    <t>19:23:00</t>
  </si>
  <si>
    <t>BB0010</t>
  </si>
  <si>
    <t>2026-08-09</t>
  </si>
  <si>
    <t>09:07:00</t>
  </si>
  <si>
    <t>BB0312</t>
  </si>
  <si>
    <t>09:42:00</t>
  </si>
  <si>
    <t>BB0099</t>
  </si>
  <si>
    <t>10:40:00</t>
  </si>
  <si>
    <t>BB0249</t>
  </si>
  <si>
    <t>12:25:00</t>
  </si>
  <si>
    <t>BB0280</t>
  </si>
  <si>
    <t>12:27:00</t>
  </si>
  <si>
    <t>BB0250</t>
  </si>
  <si>
    <t>14:07:00</t>
  </si>
  <si>
    <t>BB0142</t>
  </si>
  <si>
    <t>14:43:00</t>
  </si>
  <si>
    <t>BB0296</t>
  </si>
  <si>
    <t>15:33:00</t>
  </si>
  <si>
    <t>BB0503</t>
  </si>
  <si>
    <t>17:04:00</t>
  </si>
  <si>
    <t>BB0257</t>
  </si>
  <si>
    <t>2026-08-10</t>
  </si>
  <si>
    <t>BB0225</t>
  </si>
  <si>
    <t>09:05:00</t>
  </si>
  <si>
    <t>BB0232</t>
  </si>
  <si>
    <t>09:39:00</t>
  </si>
  <si>
    <t>BB0431</t>
  </si>
  <si>
    <t>10:07:00</t>
  </si>
  <si>
    <t>BB0284</t>
  </si>
  <si>
    <t>10:16:00</t>
  </si>
  <si>
    <t>BB0210</t>
  </si>
  <si>
    <t>11:37:00</t>
  </si>
  <si>
    <t>BB0426</t>
  </si>
  <si>
    <t>11:38:00</t>
  </si>
  <si>
    <t>BB0432</t>
  </si>
  <si>
    <t>13:01:00</t>
  </si>
  <si>
    <t>BB0118</t>
  </si>
  <si>
    <t>14:04:00</t>
  </si>
  <si>
    <t>BB0482</t>
  </si>
  <si>
    <t>14:13:00</t>
  </si>
  <si>
    <t>MOCHA</t>
  </si>
  <si>
    <t>BB0224</t>
  </si>
  <si>
    <t>15:36:00</t>
  </si>
  <si>
    <t>BB0009</t>
  </si>
  <si>
    <t>16:00:00</t>
  </si>
  <si>
    <t>BB0084</t>
  </si>
  <si>
    <t>BB0417</t>
  </si>
  <si>
    <t>16:29:00</t>
  </si>
  <si>
    <t>BB0179</t>
  </si>
  <si>
    <t>16:48:00</t>
  </si>
  <si>
    <t>BB0079</t>
  </si>
  <si>
    <t>16:54:00</t>
  </si>
  <si>
    <t>BB0485</t>
  </si>
  <si>
    <t>17:22:00</t>
  </si>
  <si>
    <t>BB0389</t>
  </si>
  <si>
    <t>2026-08-11</t>
  </si>
  <si>
    <t>08:32:00</t>
  </si>
  <si>
    <t>BB0062</t>
  </si>
  <si>
    <t>08:47:00</t>
  </si>
  <si>
    <t>BB0173</t>
  </si>
  <si>
    <t>09:02:00</t>
  </si>
  <si>
    <t>BB0511</t>
  </si>
  <si>
    <t>09:17:00</t>
  </si>
  <si>
    <t>BB0287</t>
  </si>
  <si>
    <t>09:26:00</t>
  </si>
  <si>
    <t>BB0490</t>
  </si>
  <si>
    <t>09:31:00</t>
  </si>
  <si>
    <t>BB0493</t>
  </si>
  <si>
    <t>09:45:00</t>
  </si>
  <si>
    <t>BB0036</t>
  </si>
  <si>
    <t>11:52:00</t>
  </si>
  <si>
    <t>BB0355</t>
  </si>
  <si>
    <t>BB0327</t>
  </si>
  <si>
    <t>12:29:00</t>
  </si>
  <si>
    <t>BB0161</t>
  </si>
  <si>
    <t>13:02:00</t>
  </si>
  <si>
    <t>BB0274</t>
  </si>
  <si>
    <t>BB0253</t>
  </si>
  <si>
    <t>BB0156</t>
  </si>
  <si>
    <t>14:23:00</t>
  </si>
  <si>
    <t>BB0464</t>
  </si>
  <si>
    <t>BB0382</t>
  </si>
  <si>
    <t>15:41:00</t>
  </si>
  <si>
    <t>BB0357</t>
  </si>
  <si>
    <t>18:50:00</t>
  </si>
  <si>
    <t>BB0339</t>
  </si>
  <si>
    <t>2026-08-12</t>
  </si>
  <si>
    <t>08:50:00</t>
  </si>
  <si>
    <t>BB0003</t>
  </si>
  <si>
    <t>BB0451</t>
  </si>
  <si>
    <t>BB0110</t>
  </si>
  <si>
    <t>11:20:00</t>
  </si>
  <si>
    <t>BB0519</t>
  </si>
  <si>
    <t>15:00:00</t>
  </si>
  <si>
    <t>BB0416</t>
  </si>
  <si>
    <t>15:22:00</t>
  </si>
  <si>
    <t>BB0195</t>
  </si>
  <si>
    <t>16:26:00</t>
  </si>
  <si>
    <t>CAPPUCCINO</t>
  </si>
  <si>
    <t>BB0352</t>
  </si>
  <si>
    <t>17:46:00</t>
  </si>
  <si>
    <t>BB0343</t>
  </si>
  <si>
    <t>19:08:00</t>
  </si>
  <si>
    <t>e-wallet</t>
  </si>
  <si>
    <t>BB0082</t>
  </si>
  <si>
    <t>2026-08-13</t>
  </si>
  <si>
    <t>BB0085</t>
  </si>
  <si>
    <t>BB0111</t>
  </si>
  <si>
    <t>15:09:00</t>
  </si>
  <si>
    <t>BB0415</t>
  </si>
  <si>
    <t>BB0372</t>
  </si>
  <si>
    <t>15:25:00</t>
  </si>
  <si>
    <t>BB0472</t>
  </si>
  <si>
    <t>BB0270</t>
  </si>
  <si>
    <t>17:21:00</t>
  </si>
  <si>
    <t>BB0543</t>
  </si>
  <si>
    <t>2026-08-14</t>
  </si>
  <si>
    <t>09:23:00</t>
  </si>
  <si>
    <t>BB0515</t>
  </si>
  <si>
    <t>09:36:00</t>
  </si>
  <si>
    <t>BB0474</t>
  </si>
  <si>
    <t>10:38:00</t>
  </si>
  <si>
    <t>BB0153</t>
  </si>
  <si>
    <t>BB0137</t>
  </si>
  <si>
    <t>11:11:00</t>
  </si>
  <si>
    <t>BB0330</t>
  </si>
  <si>
    <t>12:42:00</t>
  </si>
  <si>
    <t>BB0424</t>
  </si>
  <si>
    <t>14:12:00</t>
  </si>
  <si>
    <t>BB0505</t>
  </si>
  <si>
    <t>14:48:00</t>
  </si>
  <si>
    <t>BB0035</t>
  </si>
  <si>
    <t>14:53:00</t>
  </si>
  <si>
    <t>BB0365</t>
  </si>
  <si>
    <t>15:49:00</t>
  </si>
  <si>
    <t>BB0537</t>
  </si>
  <si>
    <t>15:57:00</t>
  </si>
  <si>
    <t>BB0105</t>
  </si>
  <si>
    <t>BB0029</t>
  </si>
  <si>
    <t>2026-08-15</t>
  </si>
  <si>
    <t>09:21:00</t>
  </si>
  <si>
    <t>BB0127</t>
  </si>
  <si>
    <t>BB0367</t>
  </si>
  <si>
    <t>10:27:00</t>
  </si>
  <si>
    <t>BB0185</t>
  </si>
  <si>
    <t>BB0212</t>
  </si>
  <si>
    <t>14:18:00</t>
  </si>
  <si>
    <t>BB0013</t>
  </si>
  <si>
    <t>BB0030</t>
  </si>
  <si>
    <t>17:26:00</t>
  </si>
  <si>
    <t>BB0489</t>
  </si>
  <si>
    <t>BB0478</t>
  </si>
  <si>
    <t>BB0533</t>
  </si>
  <si>
    <t>18:51:00</t>
  </si>
  <si>
    <t>BB0135</t>
  </si>
  <si>
    <t>19:42:00</t>
  </si>
  <si>
    <t>BB0095</t>
  </si>
  <si>
    <t>2026-08-16</t>
  </si>
  <si>
    <t>08:06:00</t>
  </si>
  <si>
    <t>BB0100</t>
  </si>
  <si>
    <t>10:08:00</t>
  </si>
  <si>
    <t>BB0351</t>
  </si>
  <si>
    <t>11:29:00</t>
  </si>
  <si>
    <t>BB0278</t>
  </si>
  <si>
    <t>BB0540</t>
  </si>
  <si>
    <t>12:03:00</t>
  </si>
  <si>
    <t>BB0531</t>
  </si>
  <si>
    <t>BB0547</t>
  </si>
  <si>
    <t>13:46:00</t>
  </si>
  <si>
    <t>BB0508</t>
  </si>
  <si>
    <t>14:19:00</t>
  </si>
  <si>
    <t>BB0466</t>
  </si>
  <si>
    <t>14:29:00</t>
  </si>
  <si>
    <t>BB0525</t>
  </si>
  <si>
    <t>14:32:00</t>
  </si>
  <si>
    <t>BB0460</t>
  </si>
  <si>
    <t>14:37:00</t>
  </si>
  <si>
    <t>BB0418</t>
  </si>
  <si>
    <t>BB0144</t>
  </si>
  <si>
    <t>17:08:00</t>
  </si>
  <si>
    <t>BB0060</t>
  </si>
  <si>
    <t>19:55:00</t>
  </si>
  <si>
    <t>BB0159</t>
  </si>
  <si>
    <t>2026-08-17</t>
  </si>
  <si>
    <t>10:13:00</t>
  </si>
  <si>
    <t>BB0419</t>
  </si>
  <si>
    <t>BB0097</t>
  </si>
  <si>
    <t>13:19:00</t>
  </si>
  <si>
    <t>BB0170</t>
  </si>
  <si>
    <t>BB0321</t>
  </si>
  <si>
    <t>15:06:00</t>
  </si>
  <si>
    <t>BB0509</t>
  </si>
  <si>
    <t>16:31:00</t>
  </si>
  <si>
    <t>BB0208</t>
  </si>
  <si>
    <t>16:37:00</t>
  </si>
  <si>
    <t>BB0544</t>
  </si>
  <si>
    <t>16:56:00</t>
  </si>
  <si>
    <t>BB0187</t>
  </si>
  <si>
    <t>18:12:00</t>
  </si>
  <si>
    <t>BB0081</t>
  </si>
  <si>
    <t>18:34:00</t>
  </si>
  <si>
    <t>BB0392</t>
  </si>
  <si>
    <t>19:01:00</t>
  </si>
  <si>
    <t>BB0507</t>
  </si>
  <si>
    <t>19:19:00</t>
  </si>
  <si>
    <t>BB0001</t>
  </si>
  <si>
    <t>2026-08-18</t>
  </si>
  <si>
    <t>08:11:00</t>
  </si>
  <si>
    <t>BB0462</t>
  </si>
  <si>
    <t>09:27:00</t>
  </si>
  <si>
    <t>BB0233</t>
  </si>
  <si>
    <t>09:57:00</t>
  </si>
  <si>
    <t>BB0518</t>
  </si>
  <si>
    <t>BB0260</t>
  </si>
  <si>
    <t>BB0323</t>
  </si>
  <si>
    <t>15:53:00</t>
  </si>
  <si>
    <t>BB0516</t>
  </si>
  <si>
    <t>BB0390</t>
  </si>
  <si>
    <t>17:17:00</t>
  </si>
  <si>
    <t>BB0442</t>
  </si>
  <si>
    <t>17:56:00</t>
  </si>
  <si>
    <t>BB0166</t>
  </si>
  <si>
    <t>18:11:00</t>
  </si>
  <si>
    <t>BB0206</t>
  </si>
  <si>
    <t>2026-08-19</t>
  </si>
  <si>
    <t>BB0534</t>
  </si>
  <si>
    <t>08:38:00</t>
  </si>
  <si>
    <t>BB0063</t>
  </si>
  <si>
    <t>11:14:00</t>
  </si>
  <si>
    <t>BB0042</t>
  </si>
  <si>
    <t>11:42:00</t>
  </si>
  <si>
    <t>BB0334</t>
  </si>
  <si>
    <t>BB0133</t>
  </si>
  <si>
    <t>BB0109</t>
  </si>
  <si>
    <t>16:23:00</t>
  </si>
  <si>
    <t>BB0473</t>
  </si>
  <si>
    <t>18:32:00</t>
  </si>
  <si>
    <t>BB0066</t>
  </si>
  <si>
    <t>2026-08-20</t>
  </si>
  <si>
    <t>08:10:00</t>
  </si>
  <si>
    <t>BB0396</t>
  </si>
  <si>
    <t>08:13:00</t>
  </si>
  <si>
    <t>BB0530</t>
  </si>
  <si>
    <t>08:31:00</t>
  </si>
  <si>
    <t>BB0438</t>
  </si>
  <si>
    <t>10:36:00</t>
  </si>
  <si>
    <t>BB0138</t>
  </si>
  <si>
    <t>BB0008</t>
  </si>
  <si>
    <t>10:59:00</t>
  </si>
  <si>
    <t>BB0387</t>
  </si>
  <si>
    <t>11:53:00</t>
  </si>
  <si>
    <t>BB0167</t>
  </si>
  <si>
    <t>BB0427</t>
  </si>
  <si>
    <t>18:43:00</t>
  </si>
  <si>
    <t>BB0152</t>
  </si>
  <si>
    <t>2026-08-21</t>
  </si>
  <si>
    <t>08:04:00</t>
  </si>
  <si>
    <t>BB0065</t>
  </si>
  <si>
    <t>10:29:00</t>
  </si>
  <si>
    <t>BB0455</t>
  </si>
  <si>
    <t>11:35:00</t>
  </si>
  <si>
    <t>BB0314</t>
  </si>
  <si>
    <t>13:38:00</t>
  </si>
  <si>
    <t>BB0313</t>
  </si>
  <si>
    <t>14:02:00</t>
  </si>
  <si>
    <t>BB0086</t>
  </si>
  <si>
    <t>BB0375</t>
  </si>
  <si>
    <t>14:51:00</t>
  </si>
  <si>
    <t>BB0158</t>
  </si>
  <si>
    <t>15:10:00</t>
  </si>
  <si>
    <t>BB0266</t>
  </si>
  <si>
    <t>BB0362</t>
  </si>
  <si>
    <t>18:47:00</t>
  </si>
  <si>
    <t>BB0186</t>
  </si>
  <si>
    <t>19:50:00</t>
  </si>
  <si>
    <t>BB0004</t>
  </si>
  <si>
    <t>19:51:00</t>
  </si>
  <si>
    <t>BB0380</t>
  </si>
  <si>
    <t>2026-08-22</t>
  </si>
  <si>
    <t>08:27:00</t>
  </si>
  <si>
    <t>BB0211</t>
  </si>
  <si>
    <t>10:23:00</t>
  </si>
  <si>
    <t>BB0410</t>
  </si>
  <si>
    <t>BB0047</t>
  </si>
  <si>
    <t>11:08:00</t>
  </si>
  <si>
    <t>BB0459</t>
  </si>
  <si>
    <t>12:01:00</t>
  </si>
  <si>
    <t>BB0199</t>
  </si>
  <si>
    <t>12:55:00</t>
  </si>
  <si>
    <t>BB0477</t>
  </si>
  <si>
    <t>12:58:00</t>
  </si>
  <si>
    <t>BB0188</t>
  </si>
  <si>
    <t>14:03:00</t>
  </si>
  <si>
    <t>BB0241</t>
  </si>
  <si>
    <t>14:14:00</t>
  </si>
  <si>
    <t>BB0131</t>
  </si>
  <si>
    <t>BB0449</t>
  </si>
  <si>
    <t>15:35:00</t>
  </si>
  <si>
    <t>BB0077</t>
  </si>
  <si>
    <t>BB0219</t>
  </si>
  <si>
    <t>15:43:00</t>
  </si>
  <si>
    <t>BB0332</t>
  </si>
  <si>
    <t>16:36:00</t>
  </si>
  <si>
    <t>BB0123</t>
  </si>
  <si>
    <t>BB0532</t>
  </si>
  <si>
    <t>17:09:00</t>
  </si>
  <si>
    <t>BB0322</t>
  </si>
  <si>
    <t>17:16:00</t>
  </si>
  <si>
    <t>BB0364</t>
  </si>
  <si>
    <t>BB0320</t>
  </si>
  <si>
    <t>17:28:00</t>
  </si>
  <si>
    <t>BB0381</t>
  </si>
  <si>
    <t>18:31:00</t>
  </si>
  <si>
    <t>BB0024</t>
  </si>
  <si>
    <t>2026-08-23</t>
  </si>
  <si>
    <t>11:47:00</t>
  </si>
  <si>
    <t>BB0052</t>
  </si>
  <si>
    <t>12:10:00</t>
  </si>
  <si>
    <t>BB0006</t>
  </si>
  <si>
    <t>BB0169</t>
  </si>
  <si>
    <t>BB0406</t>
  </si>
  <si>
    <t>15:19:00</t>
  </si>
  <si>
    <t>BB0363</t>
  </si>
  <si>
    <t>15:37:00</t>
  </si>
  <si>
    <t>BB0299</t>
  </si>
  <si>
    <t>BB0444</t>
  </si>
  <si>
    <t>16:43:00</t>
  </si>
  <si>
    <t>BB0021</t>
  </si>
  <si>
    <t>17:23:00</t>
  </si>
  <si>
    <t>BB0145</t>
  </si>
  <si>
    <t>18:26:00</t>
  </si>
  <si>
    <t>BB0469</t>
  </si>
  <si>
    <t>BB0154</t>
  </si>
  <si>
    <t>2026-08-24</t>
  </si>
  <si>
    <t>09:58:00</t>
  </si>
  <si>
    <t>BB0235</t>
  </si>
  <si>
    <t>10:22:00</t>
  </si>
  <si>
    <t>BB0155</t>
  </si>
  <si>
    <t>13:34:00</t>
  </si>
  <si>
    <t>BB0452</t>
  </si>
  <si>
    <t>14:10:00</t>
  </si>
  <si>
    <t>BB0115</t>
  </si>
  <si>
    <t>BB0243</t>
  </si>
  <si>
    <t>15:40:00</t>
  </si>
  <si>
    <t>BB0463</t>
  </si>
  <si>
    <t>BB0310</t>
  </si>
  <si>
    <t>BB0139</t>
  </si>
  <si>
    <t>BB0456</t>
  </si>
  <si>
    <t>18:46:00</t>
  </si>
  <si>
    <t>BB0205</t>
  </si>
  <si>
    <t>19:45:00</t>
  </si>
  <si>
    <t>BB0034</t>
  </si>
  <si>
    <t>2026-08-25</t>
  </si>
  <si>
    <t>BB0439</t>
  </si>
  <si>
    <t>08:49:00</t>
  </si>
  <si>
    <t>BB0236</t>
  </si>
  <si>
    <t>10:41:00</t>
  </si>
  <si>
    <t>BB0117</t>
  </si>
  <si>
    <t>BB0305</t>
  </si>
  <si>
    <t>BB0378</t>
  </si>
  <si>
    <t>12:02:00</t>
  </si>
  <si>
    <t>BB0121</t>
  </si>
  <si>
    <t>12:20:00</t>
  </si>
  <si>
    <t>BB0292</t>
  </si>
  <si>
    <t>13:16:00</t>
  </si>
  <si>
    <t>BB0347</t>
  </si>
  <si>
    <t>13:51:00</t>
  </si>
  <si>
    <t>BB0450</t>
  </si>
  <si>
    <t>14:00:00</t>
  </si>
  <si>
    <t>BB0033</t>
  </si>
  <si>
    <t>BB0203</t>
  </si>
  <si>
    <t>14:41:00</t>
  </si>
  <si>
    <t>BB0397</t>
  </si>
  <si>
    <t>16:25:00</t>
  </si>
  <si>
    <t>BB0348</t>
  </si>
  <si>
    <t>19:18:00</t>
  </si>
  <si>
    <t>BB0126</t>
  </si>
  <si>
    <t>2026-08-26</t>
  </si>
  <si>
    <t>09:08:00</t>
  </si>
  <si>
    <t>BB0247</t>
  </si>
  <si>
    <t>09:48:00</t>
  </si>
  <si>
    <t>BB0528</t>
  </si>
  <si>
    <t>10:12:00</t>
  </si>
  <si>
    <t>BB0174</t>
  </si>
  <si>
    <t>10:17:00</t>
  </si>
  <si>
    <t>E Wallet</t>
  </si>
  <si>
    <t>BB0545</t>
  </si>
  <si>
    <t>10:28:00</t>
  </si>
  <si>
    <t>BB0371</t>
  </si>
  <si>
    <t>BB0536</t>
  </si>
  <si>
    <t>12:53:00</t>
  </si>
  <si>
    <t>BB0307</t>
  </si>
  <si>
    <t>16:07:00</t>
  </si>
  <si>
    <t>BB0297</t>
  </si>
  <si>
    <t>16:41:00</t>
  </si>
  <si>
    <t>BB0255</t>
  </si>
  <si>
    <t>16:53:00</t>
  </si>
  <si>
    <t>BB0457</t>
  </si>
  <si>
    <t>17:37:00</t>
  </si>
  <si>
    <t>BB0028</t>
  </si>
  <si>
    <t>17:38:00</t>
  </si>
  <si>
    <t>BB0096</t>
  </si>
  <si>
    <t>18:13:00</t>
  </si>
  <si>
    <t>BB0413</t>
  </si>
  <si>
    <t>18:35:00</t>
  </si>
  <si>
    <t>BB0031</t>
  </si>
  <si>
    <t>19:25:00</t>
  </si>
  <si>
    <t>BB0411</t>
  </si>
  <si>
    <t>2026-08-27</t>
  </si>
  <si>
    <t>10:03:00</t>
  </si>
  <si>
    <t>BB0368</t>
  </si>
  <si>
    <t>10:55:00</t>
  </si>
  <si>
    <t>BB0510</t>
  </si>
  <si>
    <t>11:36:00</t>
  </si>
  <si>
    <t>BB0181</t>
  </si>
  <si>
    <t>BB0164</t>
  </si>
  <si>
    <t>12:19:00</t>
  </si>
  <si>
    <t>BB0078</t>
  </si>
  <si>
    <t>12:24:00</t>
  </si>
  <si>
    <t>BB0083</t>
  </si>
  <si>
    <t>BB0538</t>
  </si>
  <si>
    <t>14:50:00</t>
  </si>
  <si>
    <t>BB0499</t>
  </si>
  <si>
    <t>15:54:00</t>
  </si>
  <si>
    <t>BB0549</t>
  </si>
  <si>
    <t>19:10:00</t>
  </si>
  <si>
    <t>BB0213</t>
  </si>
  <si>
    <t>19:27:00</t>
  </si>
  <si>
    <t>BB0524</t>
  </si>
  <si>
    <t>19:34:00</t>
  </si>
  <si>
    <t>BB0437</t>
  </si>
  <si>
    <t>19:35:00</t>
  </si>
  <si>
    <t>BB0080</t>
  </si>
  <si>
    <t>2026-08-28</t>
  </si>
  <si>
    <t>08:03:00</t>
  </si>
  <si>
    <t>BB0300</t>
  </si>
  <si>
    <t>09:22:00</t>
  </si>
  <si>
    <t>BB0149</t>
  </si>
  <si>
    <t>10:52:00</t>
  </si>
  <si>
    <t>BB0032</t>
  </si>
  <si>
    <t>12:39:00</t>
  </si>
  <si>
    <t>BB0333</t>
  </si>
  <si>
    <t>14:25:00</t>
  </si>
  <si>
    <t>BB0271</t>
  </si>
  <si>
    <t>15:45:00</t>
  </si>
  <si>
    <t>BB0217</t>
  </si>
  <si>
    <t>15:55:00</t>
  </si>
  <si>
    <t>BB0328</t>
  </si>
  <si>
    <t>17:27:00</t>
  </si>
  <si>
    <t>BB0269</t>
  </si>
  <si>
    <t>17:41:00</t>
  </si>
  <si>
    <t>BB0134</t>
  </si>
  <si>
    <t>19:06:00</t>
  </si>
  <si>
    <t>BB0128</t>
  </si>
  <si>
    <t>2026-08-29</t>
  </si>
  <si>
    <t>08:56:00</t>
  </si>
  <si>
    <t>BB0414</t>
  </si>
  <si>
    <t>09:25:00</t>
  </si>
  <si>
    <t>BB0061</t>
  </si>
  <si>
    <t>BB0498</t>
  </si>
  <si>
    <t>12:18:00</t>
  </si>
  <si>
    <t>BB0286</t>
  </si>
  <si>
    <t>13:15:00</t>
  </si>
  <si>
    <t>BB0523</t>
  </si>
  <si>
    <t>13:26:00</t>
  </si>
  <si>
    <t>BB0282</t>
  </si>
  <si>
    <t>14:46:00</t>
  </si>
  <si>
    <t>BB0140</t>
  </si>
  <si>
    <t>BB0370</t>
  </si>
  <si>
    <t>2026-08-30</t>
  </si>
  <si>
    <t>09:35:00</t>
  </si>
  <si>
    <t>BB0148</t>
  </si>
  <si>
    <t>BB0268</t>
  </si>
  <si>
    <t>10:49:00</t>
  </si>
  <si>
    <t>BB0373</t>
  </si>
  <si>
    <t>11:01:00</t>
  </si>
  <si>
    <t>BB0279</t>
  </si>
  <si>
    <t>BB0246</t>
  </si>
  <si>
    <t>BB0015</t>
  </si>
  <si>
    <t>12:32:00</t>
  </si>
  <si>
    <t>BB0178</t>
  </si>
  <si>
    <t>12:51:00</t>
  </si>
  <si>
    <t>BB0067</t>
  </si>
  <si>
    <t>13:49:00</t>
  </si>
  <si>
    <t>BB0057</t>
  </si>
  <si>
    <t>BB0447</t>
  </si>
  <si>
    <t>BB0150</t>
  </si>
  <si>
    <t>16:32:00</t>
  </si>
  <si>
    <t>BB0264</t>
  </si>
  <si>
    <t>BB0191</t>
  </si>
  <si>
    <t>BB0376</t>
  </si>
  <si>
    <t>BB0356</t>
  </si>
  <si>
    <t>17:45:00</t>
  </si>
  <si>
    <t>BB0125</t>
  </si>
  <si>
    <t>18:37:00</t>
  </si>
  <si>
    <t>BB0222</t>
  </si>
  <si>
    <t>18:57:00</t>
  </si>
  <si>
    <t>BB0239</t>
  </si>
  <si>
    <t>2026-08-31</t>
  </si>
  <si>
    <t>11:05:00</t>
  </si>
  <si>
    <t>BB0075</t>
  </si>
  <si>
    <t>11:13:00</t>
  </si>
  <si>
    <t>BB0324</t>
  </si>
  <si>
    <t>11:19:00</t>
  </si>
  <si>
    <t>BB0242</t>
  </si>
  <si>
    <t>BB0385</t>
  </si>
  <si>
    <t>BB0025</t>
  </si>
  <si>
    <t>12:57:00</t>
  </si>
  <si>
    <t>BB0454</t>
  </si>
  <si>
    <t>15:58:00</t>
  </si>
  <si>
    <t>BB0283</t>
  </si>
  <si>
    <t>BB0497</t>
  </si>
  <si>
    <t>17:12:00</t>
  </si>
  <si>
    <t>BB0317</t>
  </si>
  <si>
    <t>17:31:00</t>
  </si>
  <si>
    <t>BB0500</t>
  </si>
  <si>
    <t>BB0046</t>
  </si>
  <si>
    <t>17:36:00</t>
  </si>
  <si>
    <t>BB0369</t>
  </si>
  <si>
    <t>18:10:00</t>
  </si>
  <si>
    <t>BB0480</t>
  </si>
  <si>
    <t>18:56:00</t>
  </si>
  <si>
    <t>BB0440</t>
  </si>
  <si>
    <t>2026-09-01</t>
  </si>
  <si>
    <t>BB0403</t>
  </si>
  <si>
    <t>09:10:00</t>
  </si>
  <si>
    <t>BB0483</t>
  </si>
  <si>
    <t>BB0441</t>
  </si>
  <si>
    <t>10:15:00</t>
  </si>
  <si>
    <t>BB0215</t>
  </si>
  <si>
    <t>10:18:00</t>
  </si>
  <si>
    <t>BB0103</t>
  </si>
  <si>
    <t>10:47:00</t>
  </si>
  <si>
    <t>BB0251</t>
  </si>
  <si>
    <t>BB0504</t>
  </si>
  <si>
    <t>BB0038</t>
  </si>
  <si>
    <t>14:17:00</t>
  </si>
  <si>
    <t>BB0434</t>
  </si>
  <si>
    <t>15:18:00</t>
  </si>
  <si>
    <t>BB0383</t>
  </si>
  <si>
    <t>BB0262</t>
  </si>
  <si>
    <t>17:15:00</t>
  </si>
  <si>
    <t>BB0433</t>
  </si>
  <si>
    <t>2026-09-02</t>
  </si>
  <si>
    <t>09:30:00</t>
  </si>
  <si>
    <t>BB0026</t>
  </si>
  <si>
    <t>09:32:00</t>
  </si>
  <si>
    <t>BB0132</t>
  </si>
  <si>
    <t>10:00:00</t>
  </si>
  <si>
    <t>BB0094</t>
  </si>
  <si>
    <t>10:30:00</t>
  </si>
  <si>
    <t>BB0214</t>
  </si>
  <si>
    <t>12:23:00</t>
  </si>
  <si>
    <t>BB0501</t>
  </si>
  <si>
    <t>12:56:00</t>
  </si>
  <si>
    <t>BB0005</t>
  </si>
  <si>
    <t>BB0184</t>
  </si>
  <si>
    <t>13:13:00</t>
  </si>
  <si>
    <t>BB0207</t>
  </si>
  <si>
    <t>BB0165</t>
  </si>
  <si>
    <t>13:50:00</t>
  </si>
  <si>
    <t>BB0124</t>
  </si>
  <si>
    <t>15:38:00</t>
  </si>
  <si>
    <t>BB0194</t>
  </si>
  <si>
    <t>17:06:00</t>
  </si>
  <si>
    <t>BB0221</t>
  </si>
  <si>
    <t>BB0395</t>
  </si>
  <si>
    <t>17:49:00</t>
  </si>
  <si>
    <t>BB0088</t>
  </si>
  <si>
    <t>17:51:00</t>
  </si>
  <si>
    <t>BB0548</t>
  </si>
  <si>
    <t>18:45:00</t>
  </si>
  <si>
    <t>BB0076</t>
  </si>
  <si>
    <t>19:00:00</t>
  </si>
  <si>
    <t>BB0311</t>
  </si>
  <si>
    <t>BB0023</t>
  </si>
  <si>
    <t>2026-09-03</t>
  </si>
  <si>
    <t>BB0039</t>
  </si>
  <si>
    <t>08:52:00</t>
  </si>
  <si>
    <t>BB0171</t>
  </si>
  <si>
    <t>BB0412</t>
  </si>
  <si>
    <t>BB0304</t>
  </si>
  <si>
    <t>12:40:00</t>
  </si>
  <si>
    <t>BB0122</t>
  </si>
  <si>
    <t>13:41:00</t>
  </si>
  <si>
    <t>BB0506</t>
  </si>
  <si>
    <t>15:27:00</t>
  </si>
  <si>
    <t>BB0202</t>
  </si>
  <si>
    <t>BB0468</t>
  </si>
  <si>
    <t>17:50:00</t>
  </si>
  <si>
    <t>BB0055</t>
  </si>
  <si>
    <t>18:02:00</t>
  </si>
  <si>
    <t>BB0130</t>
  </si>
  <si>
    <t>BB0344</t>
  </si>
  <si>
    <t>2026-09-04</t>
  </si>
  <si>
    <t>BB0218</t>
  </si>
  <si>
    <t>09:56:00</t>
  </si>
  <si>
    <t>BB0252</t>
  </si>
  <si>
    <t>BB0409</t>
  </si>
  <si>
    <t>10:42:00</t>
  </si>
  <si>
    <t>BB0366</t>
  </si>
  <si>
    <t>11:56:00</t>
  </si>
  <si>
    <t>BB0435</t>
  </si>
  <si>
    <t>BB0182</t>
  </si>
  <si>
    <t>BB0354</t>
  </si>
  <si>
    <t>BB0361</t>
  </si>
  <si>
    <t>BB0316</t>
  </si>
  <si>
    <t>BB0486</t>
  </si>
  <si>
    <t>BB0331</t>
  </si>
  <si>
    <t>BB0277</t>
  </si>
  <si>
    <t>2026-09-05</t>
  </si>
  <si>
    <t>08:58:00</t>
  </si>
  <si>
    <t>BB0044</t>
  </si>
  <si>
    <t>BB0272</t>
  </si>
  <si>
    <t>BB0068</t>
  </si>
  <si>
    <t>BB0315</t>
  </si>
  <si>
    <t>BB0231</t>
  </si>
  <si>
    <t>BB0293</t>
  </si>
  <si>
    <t>16:22:00</t>
  </si>
  <si>
    <t>BB0050</t>
  </si>
  <si>
    <t>BB0160</t>
  </si>
  <si>
    <t>18:15:00</t>
  </si>
  <si>
    <t>BB0012</t>
  </si>
  <si>
    <t>19:56:00</t>
  </si>
  <si>
    <t>BB0309</t>
  </si>
  <si>
    <t>2026-09-06</t>
  </si>
  <si>
    <t>BB0408</t>
  </si>
  <si>
    <t>09:49:00</t>
  </si>
  <si>
    <t>BB0120</t>
  </si>
  <si>
    <t>09:53:00</t>
  </si>
  <si>
    <t>BB0119</t>
  </si>
  <si>
    <t>BB0229</t>
  </si>
  <si>
    <t>11:58:00</t>
  </si>
  <si>
    <t>BB0143</t>
  </si>
  <si>
    <t>BB0070</t>
  </si>
  <si>
    <t>13:57:00</t>
  </si>
  <si>
    <t>BB0295</t>
  </si>
  <si>
    <t>BB0335</t>
  </si>
  <si>
    <t>BB0129</t>
  </si>
  <si>
    <t>BB0177</t>
  </si>
  <si>
    <t>16:33:00</t>
  </si>
  <si>
    <t>BB0007</t>
  </si>
  <si>
    <t>16:59:00</t>
  </si>
  <si>
    <t>BB0273</t>
  </si>
  <si>
    <t>BB0550</t>
  </si>
  <si>
    <t>17:20:00</t>
  </si>
  <si>
    <t>BB0053</t>
  </si>
  <si>
    <t>18:29:00</t>
  </si>
  <si>
    <t>BB0104</t>
  </si>
  <si>
    <t>BB0190</t>
  </si>
  <si>
    <t>BB0183</t>
  </si>
  <si>
    <t>BB0319</t>
  </si>
  <si>
    <t>BB0377</t>
  </si>
  <si>
    <t>2026-09-07</t>
  </si>
  <si>
    <t>10:39:00</t>
  </si>
  <si>
    <t>BB0226</t>
  </si>
  <si>
    <t>10:44:00</t>
  </si>
  <si>
    <t>BB0002</t>
  </si>
  <si>
    <t>BB0398</t>
  </si>
  <si>
    <t>11:03:00</t>
  </si>
  <si>
    <t>BB0529</t>
  </si>
  <si>
    <t>BB0163</t>
  </si>
  <si>
    <t>BB0479</t>
  </si>
  <si>
    <t>BB0141</t>
  </si>
  <si>
    <t>15:32:00</t>
  </si>
  <si>
    <t>BB0346</t>
  </si>
  <si>
    <t>17:13:00</t>
  </si>
  <si>
    <t>BB0502</t>
  </si>
  <si>
    <t>17:33:00</t>
  </si>
  <si>
    <t>BB0542</t>
  </si>
  <si>
    <t>17:44:00</t>
  </si>
  <si>
    <t>BB0353</t>
  </si>
  <si>
    <t>2026-09-08</t>
  </si>
  <si>
    <t>09:46:00</t>
  </si>
  <si>
    <t>BB0058</t>
  </si>
  <si>
    <t>BB0526</t>
  </si>
  <si>
    <t>11:51:00</t>
  </si>
  <si>
    <t>BB0072</t>
  </si>
  <si>
    <t>14:05:00</t>
  </si>
  <si>
    <t>BB0106</t>
  </si>
  <si>
    <t>BB0113</t>
  </si>
  <si>
    <t>16:09:00</t>
  </si>
  <si>
    <t>BB0267</t>
  </si>
  <si>
    <t>16:24:00</t>
  </si>
  <si>
    <t>BB0230</t>
  </si>
  <si>
    <t>BB0216</t>
  </si>
  <si>
    <t>17:32:00</t>
  </si>
  <si>
    <t>BB0494</t>
  </si>
  <si>
    <t>BB0090</t>
  </si>
  <si>
    <t>18:48:00</t>
  </si>
  <si>
    <t>BB0358</t>
  </si>
  <si>
    <t>2026-09-09</t>
  </si>
  <si>
    <t>BB0244</t>
  </si>
  <si>
    <t>BB0093</t>
  </si>
  <si>
    <t>11:09:00</t>
  </si>
  <si>
    <t>BB0350</t>
  </si>
  <si>
    <t>BB0481</t>
  </si>
  <si>
    <t>12:17:00</t>
  </si>
  <si>
    <t>BB0136</t>
  </si>
  <si>
    <t>BB0446</t>
  </si>
  <si>
    <t>BB0204</t>
  </si>
  <si>
    <t>14:28:00</t>
  </si>
  <si>
    <t>BB0423</t>
  </si>
  <si>
    <t>15:05:00</t>
  </si>
  <si>
    <t>BB0196</t>
  </si>
  <si>
    <t>16:03:00</t>
  </si>
  <si>
    <t>BB0151</t>
  </si>
  <si>
    <t>16:11:00</t>
  </si>
  <si>
    <t>BB0298</t>
  </si>
  <si>
    <t>BB0022</t>
  </si>
  <si>
    <t>17:30:00</t>
  </si>
  <si>
    <t>BB0340</t>
  </si>
  <si>
    <t>18:49:00</t>
  </si>
  <si>
    <t>BB0037</t>
  </si>
  <si>
    <t>2026-09-10</t>
  </si>
  <si>
    <t>BB0234</t>
  </si>
  <si>
    <t>10:33:00</t>
  </si>
  <si>
    <t>BB0402</t>
  </si>
  <si>
    <t>BB0069</t>
  </si>
  <si>
    <t>BB0308</t>
  </si>
  <si>
    <t>12:07:00</t>
  </si>
  <si>
    <t>BB0020</t>
  </si>
  <si>
    <t>14:30:00</t>
  </si>
  <si>
    <t>BB0102</t>
  </si>
  <si>
    <t>BB0420</t>
  </si>
  <si>
    <t>2026-09-11</t>
  </si>
  <si>
    <t>BB0422</t>
  </si>
  <si>
    <t>BB0238</t>
  </si>
  <si>
    <t>10:56:00</t>
  </si>
  <si>
    <t>BB0290</t>
  </si>
  <si>
    <t>11:46:00</t>
  </si>
  <si>
    <t>BB0394</t>
  </si>
  <si>
    <t>13:09:00</t>
  </si>
  <si>
    <t>BB0059</t>
  </si>
  <si>
    <t>13:25:00</t>
  </si>
  <si>
    <t>BB0107</t>
  </si>
  <si>
    <t>13:45:00</t>
  </si>
  <si>
    <t>BB0496</t>
  </si>
  <si>
    <t>14:26:00</t>
  </si>
  <si>
    <t>BB0445</t>
  </si>
  <si>
    <t>16:17:00</t>
  </si>
  <si>
    <t>BB0400</t>
  </si>
  <si>
    <t>BB0541</t>
  </si>
  <si>
    <t>17:59:00</t>
  </si>
  <si>
    <t>BB0220</t>
  </si>
  <si>
    <t>BB0289</t>
  </si>
  <si>
    <t>2026-09-12</t>
  </si>
  <si>
    <t>BB0404</t>
  </si>
  <si>
    <t>11:12:00</t>
  </si>
  <si>
    <t>BB0258</t>
  </si>
  <si>
    <t>15:11:00</t>
  </si>
  <si>
    <t>BB0176</t>
  </si>
  <si>
    <t>BB0288</t>
  </si>
  <si>
    <t>BB0294</t>
  </si>
  <si>
    <t>18:08:00</t>
  </si>
  <si>
    <t>BB0189</t>
  </si>
  <si>
    <t>18:36:00</t>
  </si>
  <si>
    <t>BB0049</t>
  </si>
  <si>
    <t>19:03:00</t>
  </si>
  <si>
    <t>BB0291</t>
  </si>
  <si>
    <t>19:09:00</t>
  </si>
  <si>
    <t>BB0345</t>
  </si>
  <si>
    <t>2026-09-13</t>
  </si>
  <si>
    <t>11:40:00</t>
  </si>
  <si>
    <t>BB0193</t>
  </si>
  <si>
    <t>BB0248</t>
  </si>
  <si>
    <t>12:38:00</t>
  </si>
  <si>
    <t>BB0425</t>
  </si>
  <si>
    <t>BB0471</t>
  </si>
  <si>
    <t>13:55:00</t>
  </si>
  <si>
    <t>BB0172</t>
  </si>
  <si>
    <t>BB0336</t>
  </si>
  <si>
    <t>14:39:00</t>
  </si>
  <si>
    <t>BB0491</t>
  </si>
  <si>
    <t>BB0349</t>
  </si>
  <si>
    <t>15:26:00</t>
  </si>
  <si>
    <t>BB0228</t>
  </si>
  <si>
    <t>BB0051</t>
  </si>
  <si>
    <t>BB0326</t>
  </si>
  <si>
    <t>BB0056</t>
  </si>
  <si>
    <t>2026-09-14</t>
  </si>
  <si>
    <t>08:05:00</t>
  </si>
  <si>
    <t>BB0040</t>
  </si>
  <si>
    <t>BB0017</t>
  </si>
  <si>
    <t>10:09:00</t>
  </si>
  <si>
    <t>BB0487</t>
  </si>
  <si>
    <t>11:39:00</t>
  </si>
  <si>
    <t>BB0275</t>
  </si>
  <si>
    <t>BB0114</t>
  </si>
  <si>
    <t>BB0071</t>
  </si>
  <si>
    <t>BB0521</t>
  </si>
  <si>
    <t>BB0520</t>
  </si>
  <si>
    <t>14:15:00</t>
  </si>
  <si>
    <t>BB0016</t>
  </si>
  <si>
    <t>BB0405</t>
  </si>
  <si>
    <t>BB0430</t>
  </si>
  <si>
    <t>BB0245</t>
  </si>
  <si>
    <t>Hour</t>
  </si>
  <si>
    <t>Year</t>
  </si>
  <si>
    <t>Month</t>
  </si>
  <si>
    <t>Day</t>
  </si>
  <si>
    <t>Grand Total</t>
  </si>
  <si>
    <t>Sum of Quantity</t>
  </si>
  <si>
    <t>(All)</t>
  </si>
  <si>
    <t>Count of Transaction_ID</t>
  </si>
  <si>
    <t>Order Type</t>
  </si>
  <si>
    <t>Payment Method</t>
  </si>
  <si>
    <t>Product Name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</si>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</sst>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\ #,##0.00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136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2.754358796294" createdVersion="8" refreshedVersion="8" minRefreshableVersion="3" recordCount="550" xr:uid="{A7732DBE-1EAC-44A7-94C2-C65D53ED26B9}">
  <cacheSource type="worksheet">
    <worksheetSource name="CoffeeSalesRaw3"/>
  </cacheSource>
  <cacheFields count="14">
    <cacheField name="Transaction_ID" numFmtId="0">
      <sharedItems/>
    </cacheField>
    <cacheField name="Order_Date" numFmtId="0">
      <sharedItems/>
    </cacheField>
    <cacheField name="Year" numFmtId="0">
      <sharedItems containsSemiMixedTypes="0" containsString="0" containsNumber="1" containsInteger="1" minValue="2026" maxValue="2026"/>
    </cacheField>
    <cacheField name="Month" numFmtId="0">
      <sharedItems count="2">
        <s v="August"/>
        <s v="September"/>
      </sharedItems>
    </cacheField>
    <cacheField name="Day" numFmtId="0">
      <sharedItems/>
    </cacheField>
    <cacheField name="Order_Time" numFmtId="0">
      <sharedItems/>
    </cacheField>
    <cacheField name="Hour" numFmtId="0">
      <sharedItems containsSemiMixedTypes="0" containsString="0" containsNumber="1" containsInteger="1" minValue="8" maxValue="19" count="12">
        <n v="8"/>
        <n v="9"/>
        <n v="11"/>
        <n v="13"/>
        <n v="14"/>
        <n v="15"/>
        <n v="16"/>
        <n v="19"/>
        <n v="10"/>
        <n v="12"/>
        <n v="17"/>
        <n v="18"/>
      </sharedItems>
    </cacheField>
    <cacheField name="Product_Name" numFmtId="0">
      <sharedItems count="12">
        <s v="Caramel Macchiato"/>
        <s v="Cappuccino"/>
        <s v="Matcha Latte"/>
        <s v="Chocolate Muffin"/>
        <s v="Latte"/>
        <s v="Americano"/>
        <s v="Espresso"/>
        <s v="Croissant"/>
        <s v="Brownie"/>
        <s v="Mocha"/>
        <s v="Chocolate"/>
        <s v="Cheesecak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_RM" numFmtId="164">
      <sharedItems containsSemiMixedTypes="0" containsString="0" containsNumber="1" containsInteger="1" minValue="7" maxValue="16"/>
    </cacheField>
    <cacheField name="Payment_Method" numFmtId="0">
      <sharedItems count="3">
        <s v="Card"/>
        <s v="E-Wallet"/>
        <s v="Cash"/>
      </sharedItems>
    </cacheField>
    <cacheField name="Order_Type" numFmtId="0">
      <sharedItems count="2">
        <s v="Takeaway"/>
        <s v="Dine-In"/>
      </sharedItems>
    </cacheField>
    <cacheField name="Total_Amount_RM" numFmtId="164">
      <sharedItems containsSemiMixedTypes="0" containsString="0" containsNumber="1" containsInteger="1" minValue="7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4.582037384258" createdVersion="8" refreshedVersion="8" minRefreshableVersion="3" recordCount="550" xr:uid="{BF69453F-F50D-4F38-BA0D-872D4BB171B6}">
  <cacheSource type="worksheet">
    <worksheetSource name="CoffeeSalesRaw3[[Order_Date]:[Total_Amount_RM]]"/>
  </cacheSource>
  <cacheFields count="13">
    <cacheField name="Order_Date" numFmtId="0">
      <sharedItems/>
    </cacheField>
    <cacheField name="Year" numFmtId="0">
      <sharedItems containsSemiMixedTypes="0" containsString="0" containsNumber="1" containsInteger="1" minValue="2026" maxValue="2026"/>
    </cacheField>
    <cacheField name="Month" numFmtId="0">
      <sharedItems count="2">
        <s v="August"/>
        <s v="September"/>
      </sharedItems>
    </cacheField>
    <cacheField name="Day" numFmtId="0">
      <sharedItems/>
    </cacheField>
    <cacheField name="Order_Time" numFmtId="0">
      <sharedItems/>
    </cacheField>
    <cacheField name="Hour" numFmtId="0">
      <sharedItems containsSemiMixedTypes="0" containsString="0" containsNumber="1" containsInteger="1" minValue="8" maxValue="19"/>
    </cacheField>
    <cacheField name="Product_Name" numFmtId="0">
      <sharedItems count="12">
        <s v="Caramel Macchiato"/>
        <s v="Cappuccino"/>
        <s v="Matcha Latte"/>
        <s v="Chocolate Muffin"/>
        <s v="Latte"/>
        <s v="Americano"/>
        <s v="Espresso"/>
        <s v="Croissant"/>
        <s v="Brownie"/>
        <s v="Mocha"/>
        <s v="Chocolate"/>
        <s v="Cheesecak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_RM" numFmtId="164">
      <sharedItems containsSemiMixedTypes="0" containsString="0" containsNumber="1" containsInteger="1" minValue="7" maxValue="16"/>
    </cacheField>
    <cacheField name="Payment_Method" numFmtId="0">
      <sharedItems/>
    </cacheField>
    <cacheField name="Order_Type" numFmtId="0">
      <sharedItems/>
    </cacheField>
    <cacheField name="Total_Amount_RM" numFmtId="164">
      <sharedItems containsSemiMixedTypes="0" containsString="0" containsNumber="1" containsInteger="1" minValue="7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BB0168"/>
    <s v="2026-08-01"/>
    <n v="2026"/>
    <x v="0"/>
    <s v="Saturday"/>
    <s v="08:40:00"/>
    <x v="0"/>
    <x v="0"/>
    <s v="Coffee"/>
    <n v="1"/>
    <n v="15"/>
    <x v="0"/>
    <x v="0"/>
    <n v="15"/>
  </r>
  <r>
    <s v="BB0337"/>
    <s v="2026-08-01"/>
    <n v="2026"/>
    <x v="0"/>
    <s v="Saturday"/>
    <s v="09:24:00"/>
    <x v="1"/>
    <x v="0"/>
    <s v="Coffee"/>
    <n v="1"/>
    <n v="15"/>
    <x v="0"/>
    <x v="0"/>
    <n v="15"/>
  </r>
  <r>
    <s v="BB0116"/>
    <s v="2026-08-01"/>
    <n v="2026"/>
    <x v="0"/>
    <s v="Saturday"/>
    <s v="09:44:00"/>
    <x v="1"/>
    <x v="1"/>
    <s v="Coffee"/>
    <n v="2"/>
    <n v="12"/>
    <x v="0"/>
    <x v="0"/>
    <n v="24"/>
  </r>
  <r>
    <s v="BB0303"/>
    <s v="2026-08-01"/>
    <n v="2026"/>
    <x v="0"/>
    <s v="Saturday"/>
    <s v="11:41:00"/>
    <x v="2"/>
    <x v="2"/>
    <s v="Non-Coffee"/>
    <n v="1"/>
    <n v="14"/>
    <x v="1"/>
    <x v="0"/>
    <n v="14"/>
  </r>
  <r>
    <s v="BB0259"/>
    <s v="2026-08-01"/>
    <n v="2026"/>
    <x v="0"/>
    <s v="Saturday"/>
    <s v="11:59:00"/>
    <x v="2"/>
    <x v="3"/>
    <s v="Pastry"/>
    <n v="1"/>
    <n v="9"/>
    <x v="1"/>
    <x v="0"/>
    <n v="9"/>
  </r>
  <r>
    <s v="BB0429"/>
    <s v="2026-08-01"/>
    <n v="2026"/>
    <x v="0"/>
    <s v="Saturday"/>
    <s v="13:17:00"/>
    <x v="3"/>
    <x v="2"/>
    <s v="Non-Coffee"/>
    <n v="2"/>
    <n v="14"/>
    <x v="1"/>
    <x v="0"/>
    <n v="28"/>
  </r>
  <r>
    <s v="BB0448"/>
    <s v="2026-08-01"/>
    <n v="2026"/>
    <x v="0"/>
    <s v="Saturday"/>
    <s v="13:27:00"/>
    <x v="3"/>
    <x v="4"/>
    <s v="Coffee"/>
    <n v="2"/>
    <n v="13"/>
    <x v="1"/>
    <x v="0"/>
    <n v="26"/>
  </r>
  <r>
    <s v="BB0546"/>
    <s v="2026-08-01"/>
    <n v="2026"/>
    <x v="0"/>
    <s v="Saturday"/>
    <s v="14:24:00"/>
    <x v="4"/>
    <x v="5"/>
    <s v="Coffee"/>
    <n v="2"/>
    <n v="9"/>
    <x v="1"/>
    <x v="0"/>
    <n v="18"/>
  </r>
  <r>
    <s v="BB0014"/>
    <s v="2026-08-01"/>
    <n v="2026"/>
    <x v="0"/>
    <s v="Saturday"/>
    <s v="15:13:00"/>
    <x v="5"/>
    <x v="5"/>
    <s v="Coffee"/>
    <n v="1"/>
    <n v="9"/>
    <x v="2"/>
    <x v="0"/>
    <n v="9"/>
  </r>
  <r>
    <s v="BB0064"/>
    <s v="2026-08-01"/>
    <n v="2026"/>
    <x v="0"/>
    <s v="Saturday"/>
    <s v="15:24:00"/>
    <x v="5"/>
    <x v="1"/>
    <s v="Coffee"/>
    <n v="2"/>
    <n v="12"/>
    <x v="1"/>
    <x v="1"/>
    <n v="24"/>
  </r>
  <r>
    <s v="BB0073"/>
    <s v="2026-08-01"/>
    <n v="2026"/>
    <x v="0"/>
    <s v="Saturday"/>
    <s v="16:21:00"/>
    <x v="6"/>
    <x v="3"/>
    <s v="Pastry"/>
    <n v="1"/>
    <n v="9"/>
    <x v="0"/>
    <x v="0"/>
    <n v="9"/>
  </r>
  <r>
    <s v="BB0175"/>
    <s v="2026-08-01"/>
    <n v="2026"/>
    <x v="0"/>
    <s v="Saturday"/>
    <s v="16:35:00"/>
    <x v="6"/>
    <x v="1"/>
    <s v="Coffee"/>
    <n v="3"/>
    <n v="12"/>
    <x v="1"/>
    <x v="1"/>
    <n v="36"/>
  </r>
  <r>
    <s v="BB0443"/>
    <s v="2026-08-01"/>
    <n v="2026"/>
    <x v="0"/>
    <s v="Saturday"/>
    <s v="19:13:00"/>
    <x v="7"/>
    <x v="6"/>
    <s v="Coffee"/>
    <n v="2"/>
    <n v="7"/>
    <x v="1"/>
    <x v="1"/>
    <n v="14"/>
  </r>
  <r>
    <s v="BB0401"/>
    <s v="2026-08-01"/>
    <n v="2026"/>
    <x v="0"/>
    <s v="Saturday"/>
    <s v="19:54:00"/>
    <x v="7"/>
    <x v="7"/>
    <s v="Pastry"/>
    <n v="3"/>
    <n v="8"/>
    <x v="0"/>
    <x v="0"/>
    <n v="24"/>
  </r>
  <r>
    <s v="BB0301"/>
    <s v="2026-08-02"/>
    <n v="2026"/>
    <x v="0"/>
    <s v="Sunday"/>
    <s v="08:23:00"/>
    <x v="0"/>
    <x v="5"/>
    <s v="Coffee"/>
    <n v="1"/>
    <n v="9"/>
    <x v="0"/>
    <x v="1"/>
    <n v="9"/>
  </r>
  <r>
    <s v="BB0197"/>
    <s v="2026-08-02"/>
    <n v="2026"/>
    <x v="0"/>
    <s v="Sunday"/>
    <s v="09:03:00"/>
    <x v="1"/>
    <x v="0"/>
    <s v="Coffee"/>
    <n v="1"/>
    <n v="15"/>
    <x v="0"/>
    <x v="0"/>
    <n v="15"/>
  </r>
  <r>
    <s v="BB0467"/>
    <s v="2026-08-02"/>
    <n v="2026"/>
    <x v="0"/>
    <s v="Sunday"/>
    <s v="10:43:00"/>
    <x v="8"/>
    <x v="8"/>
    <s v="Dessert"/>
    <n v="3"/>
    <n v="10"/>
    <x v="1"/>
    <x v="0"/>
    <n v="30"/>
  </r>
  <r>
    <s v="BB0254"/>
    <s v="2026-08-02"/>
    <n v="2026"/>
    <x v="0"/>
    <s v="Sunday"/>
    <s v="10:58:00"/>
    <x v="8"/>
    <x v="3"/>
    <s v="Pastry"/>
    <n v="1"/>
    <n v="9"/>
    <x v="2"/>
    <x v="0"/>
    <n v="9"/>
  </r>
  <r>
    <s v="BB0019"/>
    <s v="2026-08-02"/>
    <n v="2026"/>
    <x v="0"/>
    <s v="Sunday"/>
    <s v="11:28:00"/>
    <x v="2"/>
    <x v="4"/>
    <s v="Coffee"/>
    <n v="1"/>
    <n v="13"/>
    <x v="2"/>
    <x v="0"/>
    <n v="13"/>
  </r>
  <r>
    <s v="BB0318"/>
    <s v="2026-08-02"/>
    <n v="2026"/>
    <x v="0"/>
    <s v="Sunday"/>
    <s v="12:35:00"/>
    <x v="9"/>
    <x v="2"/>
    <s v="Non-Coffee"/>
    <n v="2"/>
    <n v="14"/>
    <x v="1"/>
    <x v="1"/>
    <n v="28"/>
  </r>
  <r>
    <s v="BB0209"/>
    <s v="2026-08-02"/>
    <n v="2026"/>
    <x v="0"/>
    <s v="Sunday"/>
    <s v="13:33:00"/>
    <x v="3"/>
    <x v="9"/>
    <s v="Coffee"/>
    <n v="1"/>
    <n v="14"/>
    <x v="2"/>
    <x v="1"/>
    <n v="14"/>
  </r>
  <r>
    <s v="BB0306"/>
    <s v="2026-08-02"/>
    <n v="2026"/>
    <x v="0"/>
    <s v="Sunday"/>
    <s v="15:39:00"/>
    <x v="5"/>
    <x v="9"/>
    <s v="Coffee"/>
    <n v="2"/>
    <n v="14"/>
    <x v="0"/>
    <x v="0"/>
    <n v="28"/>
  </r>
  <r>
    <s v="BB0513"/>
    <s v="2026-08-02"/>
    <n v="2026"/>
    <x v="0"/>
    <s v="Sunday"/>
    <s v="16:44:00"/>
    <x v="6"/>
    <x v="2"/>
    <s v="Non-Coffee"/>
    <n v="1"/>
    <n v="14"/>
    <x v="2"/>
    <x v="0"/>
    <n v="14"/>
  </r>
  <r>
    <s v="BB0338"/>
    <s v="2026-08-02"/>
    <n v="2026"/>
    <x v="0"/>
    <s v="Sunday"/>
    <s v="17:40:00"/>
    <x v="10"/>
    <x v="0"/>
    <s v="Coffee"/>
    <n v="2"/>
    <n v="15"/>
    <x v="1"/>
    <x v="0"/>
    <n v="30"/>
  </r>
  <r>
    <s v="BB0018"/>
    <s v="2026-08-02"/>
    <n v="2026"/>
    <x v="0"/>
    <s v="Sunday"/>
    <s v="18:03:00"/>
    <x v="11"/>
    <x v="6"/>
    <s v="Coffee"/>
    <n v="2"/>
    <n v="7"/>
    <x v="1"/>
    <x v="0"/>
    <n v="14"/>
  </r>
  <r>
    <s v="BB0092"/>
    <s v="2026-08-02"/>
    <n v="2026"/>
    <x v="0"/>
    <s v="Sunday"/>
    <s v="18:55:00"/>
    <x v="11"/>
    <x v="3"/>
    <s v="Pastry"/>
    <n v="1"/>
    <n v="9"/>
    <x v="0"/>
    <x v="0"/>
    <n v="9"/>
  </r>
  <r>
    <s v="BB0475"/>
    <s v="2026-08-02"/>
    <n v="2026"/>
    <x v="0"/>
    <s v="Sunday"/>
    <s v="19:02:00"/>
    <x v="7"/>
    <x v="5"/>
    <s v="Coffee"/>
    <n v="1"/>
    <n v="9"/>
    <x v="1"/>
    <x v="1"/>
    <n v="9"/>
  </r>
  <r>
    <s v="BB0223"/>
    <s v="2026-08-02"/>
    <n v="2026"/>
    <x v="0"/>
    <s v="Sunday"/>
    <s v="19:13:00"/>
    <x v="7"/>
    <x v="6"/>
    <s v="Coffee"/>
    <n v="1"/>
    <n v="7"/>
    <x v="1"/>
    <x v="0"/>
    <n v="7"/>
  </r>
  <r>
    <s v="BB0384"/>
    <s v="2026-08-03"/>
    <n v="2026"/>
    <x v="0"/>
    <s v="Monday"/>
    <s v="10:05:00"/>
    <x v="8"/>
    <x v="1"/>
    <s v="Coffee"/>
    <n v="2"/>
    <n v="12"/>
    <x v="1"/>
    <x v="0"/>
    <n v="24"/>
  </r>
  <r>
    <s v="BB0263"/>
    <s v="2026-08-03"/>
    <n v="2026"/>
    <x v="0"/>
    <s v="Monday"/>
    <s v="10:32:00"/>
    <x v="8"/>
    <x v="4"/>
    <s v="Coffee"/>
    <n v="3"/>
    <n v="13"/>
    <x v="1"/>
    <x v="1"/>
    <n v="39"/>
  </r>
  <r>
    <s v="BB0054"/>
    <s v="2026-08-03"/>
    <n v="2026"/>
    <x v="0"/>
    <s v="Monday"/>
    <s v="10:34:00"/>
    <x v="8"/>
    <x v="4"/>
    <s v="Coffee"/>
    <n v="2"/>
    <n v="13"/>
    <x v="0"/>
    <x v="1"/>
    <n v="26"/>
  </r>
  <r>
    <s v="BB0325"/>
    <s v="2026-08-03"/>
    <n v="2026"/>
    <x v="0"/>
    <s v="Monday"/>
    <s v="10:53:00"/>
    <x v="8"/>
    <x v="4"/>
    <s v="Coffee"/>
    <n v="1"/>
    <n v="13"/>
    <x v="0"/>
    <x v="1"/>
    <n v="13"/>
  </r>
  <r>
    <s v="BB0465"/>
    <s v="2026-08-03"/>
    <n v="2026"/>
    <x v="0"/>
    <s v="Monday"/>
    <s v="12:14:00"/>
    <x v="9"/>
    <x v="5"/>
    <s v="Coffee"/>
    <n v="1"/>
    <n v="9"/>
    <x v="0"/>
    <x v="1"/>
    <n v="9"/>
  </r>
  <r>
    <s v="BB0399"/>
    <s v="2026-08-03"/>
    <n v="2026"/>
    <x v="0"/>
    <s v="Monday"/>
    <s v="14:20:00"/>
    <x v="4"/>
    <x v="1"/>
    <s v="Coffee"/>
    <n v="1"/>
    <n v="12"/>
    <x v="1"/>
    <x v="0"/>
    <n v="12"/>
  </r>
  <r>
    <s v="BB0112"/>
    <s v="2026-08-03"/>
    <n v="2026"/>
    <x v="0"/>
    <s v="Monday"/>
    <s v="15:23:00"/>
    <x v="5"/>
    <x v="4"/>
    <s v="Coffee"/>
    <n v="1"/>
    <n v="13"/>
    <x v="1"/>
    <x v="0"/>
    <n v="13"/>
  </r>
  <r>
    <s v="BB0237"/>
    <s v="2026-08-03"/>
    <n v="2026"/>
    <x v="0"/>
    <s v="Monday"/>
    <s v="16:46:00"/>
    <x v="6"/>
    <x v="4"/>
    <s v="Coffee"/>
    <n v="1"/>
    <n v="13"/>
    <x v="1"/>
    <x v="0"/>
    <n v="13"/>
  </r>
  <r>
    <s v="BB0484"/>
    <s v="2026-08-03"/>
    <n v="2026"/>
    <x v="0"/>
    <s v="Monday"/>
    <s v="16:55:00"/>
    <x v="6"/>
    <x v="10"/>
    <s v="Non-Coffee"/>
    <n v="2"/>
    <n v="12"/>
    <x v="0"/>
    <x v="1"/>
    <n v="24"/>
  </r>
  <r>
    <s v="BB0421"/>
    <s v="2026-08-03"/>
    <n v="2026"/>
    <x v="0"/>
    <s v="Monday"/>
    <s v="17:55:00"/>
    <x v="10"/>
    <x v="4"/>
    <s v="Coffee"/>
    <n v="1"/>
    <n v="13"/>
    <x v="2"/>
    <x v="0"/>
    <n v="13"/>
  </r>
  <r>
    <s v="BB0428"/>
    <s v="2026-08-03"/>
    <n v="2026"/>
    <x v="0"/>
    <s v="Monday"/>
    <s v="18:30:00"/>
    <x v="11"/>
    <x v="4"/>
    <s v="Coffee"/>
    <n v="1"/>
    <n v="13"/>
    <x v="2"/>
    <x v="1"/>
    <n v="13"/>
  </r>
  <r>
    <s v="BB0091"/>
    <s v="2026-08-04"/>
    <n v="2026"/>
    <x v="0"/>
    <s v="Tuesday"/>
    <s v="09:11:00"/>
    <x v="1"/>
    <x v="1"/>
    <s v="Coffee"/>
    <n v="1"/>
    <n v="12"/>
    <x v="1"/>
    <x v="1"/>
    <n v="12"/>
  </r>
  <r>
    <s v="BB0011"/>
    <s v="2026-08-04"/>
    <n v="2026"/>
    <x v="0"/>
    <s v="Tuesday"/>
    <s v="10:31:00"/>
    <x v="8"/>
    <x v="11"/>
    <s v="Dessert"/>
    <n v="3"/>
    <n v="16"/>
    <x v="2"/>
    <x v="1"/>
    <n v="48"/>
  </r>
  <r>
    <s v="BB0388"/>
    <s v="2026-08-04"/>
    <n v="2026"/>
    <x v="0"/>
    <s v="Tuesday"/>
    <s v="11:17:00"/>
    <x v="2"/>
    <x v="6"/>
    <s v="Coffee"/>
    <n v="1"/>
    <n v="7"/>
    <x v="1"/>
    <x v="1"/>
    <n v="7"/>
  </r>
  <r>
    <s v="BB0461"/>
    <s v="2026-08-04"/>
    <n v="2026"/>
    <x v="0"/>
    <s v="Tuesday"/>
    <s v="11:48:00"/>
    <x v="2"/>
    <x v="10"/>
    <s v="Non-Coffee"/>
    <n v="1"/>
    <n v="12"/>
    <x v="1"/>
    <x v="1"/>
    <n v="12"/>
  </r>
  <r>
    <s v="BB0281"/>
    <s v="2026-08-04"/>
    <n v="2026"/>
    <x v="0"/>
    <s v="Tuesday"/>
    <s v="12:36:00"/>
    <x v="9"/>
    <x v="6"/>
    <s v="Coffee"/>
    <n v="1"/>
    <n v="7"/>
    <x v="0"/>
    <x v="1"/>
    <n v="7"/>
  </r>
  <r>
    <s v="BB0101"/>
    <s v="2026-08-04"/>
    <n v="2026"/>
    <x v="0"/>
    <s v="Tuesday"/>
    <s v="14:06:00"/>
    <x v="4"/>
    <x v="3"/>
    <s v="Pastry"/>
    <n v="1"/>
    <n v="9"/>
    <x v="1"/>
    <x v="1"/>
    <n v="9"/>
  </r>
  <r>
    <s v="BB0108"/>
    <s v="2026-08-04"/>
    <n v="2026"/>
    <x v="0"/>
    <s v="Tuesday"/>
    <s v="15:01:00"/>
    <x v="5"/>
    <x v="3"/>
    <s v="Pastry"/>
    <n v="1"/>
    <n v="9"/>
    <x v="2"/>
    <x v="1"/>
    <n v="9"/>
  </r>
  <r>
    <s v="BB0087"/>
    <s v="2026-08-04"/>
    <n v="2026"/>
    <x v="0"/>
    <s v="Tuesday"/>
    <s v="15:14:00"/>
    <x v="5"/>
    <x v="5"/>
    <s v="Coffee"/>
    <n v="1"/>
    <n v="9"/>
    <x v="2"/>
    <x v="0"/>
    <n v="9"/>
  </r>
  <r>
    <s v="BB0527"/>
    <s v="2026-08-04"/>
    <n v="2026"/>
    <x v="0"/>
    <s v="Tuesday"/>
    <s v="16:01:00"/>
    <x v="6"/>
    <x v="6"/>
    <s v="Coffee"/>
    <n v="1"/>
    <n v="7"/>
    <x v="1"/>
    <x v="0"/>
    <n v="7"/>
  </r>
  <r>
    <s v="BB0359"/>
    <s v="2026-08-04"/>
    <n v="2026"/>
    <x v="0"/>
    <s v="Tuesday"/>
    <s v="16:51:00"/>
    <x v="6"/>
    <x v="10"/>
    <s v="Non-Coffee"/>
    <n v="2"/>
    <n v="12"/>
    <x v="1"/>
    <x v="1"/>
    <n v="24"/>
  </r>
  <r>
    <s v="BB0470"/>
    <s v="2026-08-04"/>
    <n v="2026"/>
    <x v="0"/>
    <s v="Tuesday"/>
    <s v="18:38:00"/>
    <x v="11"/>
    <x v="1"/>
    <s v="Coffee"/>
    <n v="1"/>
    <n v="12"/>
    <x v="0"/>
    <x v="0"/>
    <n v="12"/>
  </r>
  <r>
    <s v="BB0045"/>
    <s v="2026-08-04"/>
    <n v="2026"/>
    <x v="0"/>
    <s v="Tuesday"/>
    <s v="18:54:00"/>
    <x v="11"/>
    <x v="6"/>
    <s v="Coffee"/>
    <n v="1"/>
    <n v="7"/>
    <x v="0"/>
    <x v="0"/>
    <n v="7"/>
  </r>
  <r>
    <s v="BB0341"/>
    <s v="2026-08-04"/>
    <n v="2026"/>
    <x v="0"/>
    <s v="Tuesday"/>
    <s v="19:47:00"/>
    <x v="7"/>
    <x v="1"/>
    <s v="Coffee"/>
    <n v="1"/>
    <n v="12"/>
    <x v="2"/>
    <x v="1"/>
    <n v="12"/>
  </r>
  <r>
    <s v="BB0342"/>
    <s v="2026-08-04"/>
    <n v="2026"/>
    <x v="0"/>
    <s v="Tuesday"/>
    <s v="19:57:00"/>
    <x v="7"/>
    <x v="0"/>
    <s v="Coffee"/>
    <n v="1"/>
    <n v="15"/>
    <x v="0"/>
    <x v="0"/>
    <n v="15"/>
  </r>
  <r>
    <s v="BB0453"/>
    <s v="2026-08-05"/>
    <n v="2026"/>
    <x v="0"/>
    <s v="Wednesday"/>
    <s v="08:33:00"/>
    <x v="0"/>
    <x v="0"/>
    <s v="Coffee"/>
    <n v="2"/>
    <n v="15"/>
    <x v="1"/>
    <x v="0"/>
    <n v="30"/>
  </r>
  <r>
    <s v="BB0261"/>
    <s v="2026-08-05"/>
    <n v="2026"/>
    <x v="0"/>
    <s v="Wednesday"/>
    <s v="10:14:00"/>
    <x v="8"/>
    <x v="4"/>
    <s v="Coffee"/>
    <n v="2"/>
    <n v="13"/>
    <x v="0"/>
    <x v="0"/>
    <n v="26"/>
  </r>
  <r>
    <s v="BB0074"/>
    <s v="2026-08-05"/>
    <n v="2026"/>
    <x v="0"/>
    <s v="Wednesday"/>
    <s v="11:26:00"/>
    <x v="2"/>
    <x v="4"/>
    <s v="Pastry"/>
    <n v="1"/>
    <n v="8"/>
    <x v="1"/>
    <x v="1"/>
    <n v="8"/>
  </r>
  <r>
    <s v="BB0162"/>
    <s v="2026-08-05"/>
    <n v="2026"/>
    <x v="0"/>
    <s v="Wednesday"/>
    <s v="11:32:00"/>
    <x v="2"/>
    <x v="3"/>
    <s v="Pastry"/>
    <n v="1"/>
    <n v="9"/>
    <x v="1"/>
    <x v="0"/>
    <n v="9"/>
  </r>
  <r>
    <s v="BB0458"/>
    <s v="2026-08-05"/>
    <n v="2026"/>
    <x v="0"/>
    <s v="Wednesday"/>
    <s v="13:21:00"/>
    <x v="3"/>
    <x v="2"/>
    <s v="Non-Coffee"/>
    <n v="2"/>
    <n v="14"/>
    <x v="1"/>
    <x v="0"/>
    <n v="28"/>
  </r>
  <r>
    <s v="BB0514"/>
    <s v="2026-08-05"/>
    <n v="2026"/>
    <x v="0"/>
    <s v="Wednesday"/>
    <s v="13:58:00"/>
    <x v="3"/>
    <x v="5"/>
    <s v="Coffee"/>
    <n v="1"/>
    <n v="9"/>
    <x v="0"/>
    <x v="0"/>
    <n v="9"/>
  </r>
  <r>
    <s v="BB0147"/>
    <s v="2026-08-05"/>
    <n v="2026"/>
    <x v="0"/>
    <s v="Wednesday"/>
    <s v="14:11:00"/>
    <x v="4"/>
    <x v="9"/>
    <s v="Coffee"/>
    <n v="2"/>
    <n v="14"/>
    <x v="0"/>
    <x v="0"/>
    <n v="28"/>
  </r>
  <r>
    <s v="BB0027"/>
    <s v="2026-08-05"/>
    <n v="2026"/>
    <x v="0"/>
    <s v="Wednesday"/>
    <s v="14:36:00"/>
    <x v="4"/>
    <x v="9"/>
    <s v="Coffee"/>
    <n v="1"/>
    <n v="14"/>
    <x v="1"/>
    <x v="0"/>
    <n v="14"/>
  </r>
  <r>
    <s v="BB0276"/>
    <s v="2026-08-05"/>
    <n v="2026"/>
    <x v="0"/>
    <s v="Wednesday"/>
    <s v="14:59:00"/>
    <x v="4"/>
    <x v="8"/>
    <s v="Dessert"/>
    <n v="1"/>
    <n v="10"/>
    <x v="0"/>
    <x v="0"/>
    <n v="10"/>
  </r>
  <r>
    <s v="BB0201"/>
    <s v="2026-08-05"/>
    <n v="2026"/>
    <x v="0"/>
    <s v="Wednesday"/>
    <s v="16:10:00"/>
    <x v="6"/>
    <x v="1"/>
    <s v="Coffee"/>
    <n v="1"/>
    <n v="12"/>
    <x v="1"/>
    <x v="0"/>
    <n v="12"/>
  </r>
  <r>
    <s v="BB0495"/>
    <s v="2026-08-05"/>
    <n v="2026"/>
    <x v="0"/>
    <s v="Wednesday"/>
    <s v="16:39:00"/>
    <x v="6"/>
    <x v="1"/>
    <s v="Coffee"/>
    <n v="1"/>
    <n v="12"/>
    <x v="1"/>
    <x v="1"/>
    <n v="12"/>
  </r>
  <r>
    <s v="BB0265"/>
    <s v="2026-08-05"/>
    <n v="2026"/>
    <x v="0"/>
    <s v="Wednesday"/>
    <s v="17:03:00"/>
    <x v="10"/>
    <x v="6"/>
    <s v="Coffee"/>
    <n v="1"/>
    <n v="7"/>
    <x v="0"/>
    <x v="1"/>
    <n v="7"/>
  </r>
  <r>
    <s v="BB0512"/>
    <s v="2026-08-06"/>
    <n v="2026"/>
    <x v="0"/>
    <s v="Thursday"/>
    <s v="08:21:00"/>
    <x v="0"/>
    <x v="4"/>
    <s v="Coffee"/>
    <n v="1"/>
    <n v="13"/>
    <x v="1"/>
    <x v="0"/>
    <n v="13"/>
  </r>
  <r>
    <s v="BB0180"/>
    <s v="2026-08-06"/>
    <n v="2026"/>
    <x v="0"/>
    <s v="Thursday"/>
    <s v="08:34:00"/>
    <x v="0"/>
    <x v="4"/>
    <s v="Coffee"/>
    <n v="1"/>
    <n v="13"/>
    <x v="0"/>
    <x v="0"/>
    <n v="13"/>
  </r>
  <r>
    <s v="BB0302"/>
    <s v="2026-08-06"/>
    <n v="2026"/>
    <x v="0"/>
    <s v="Thursday"/>
    <s v="09:20:00"/>
    <x v="1"/>
    <x v="4"/>
    <s v="Coffee"/>
    <n v="1"/>
    <n v="13"/>
    <x v="0"/>
    <x v="0"/>
    <n v="13"/>
  </r>
  <r>
    <s v="BB0329"/>
    <s v="2026-08-06"/>
    <n v="2026"/>
    <x v="0"/>
    <s v="Thursday"/>
    <s v="10:20:00"/>
    <x v="8"/>
    <x v="9"/>
    <s v="Coffee"/>
    <n v="2"/>
    <n v="14"/>
    <x v="1"/>
    <x v="0"/>
    <n v="28"/>
  </r>
  <r>
    <s v="BB0386"/>
    <s v="2026-08-06"/>
    <n v="2026"/>
    <x v="0"/>
    <s v="Thursday"/>
    <s v="11:23:00"/>
    <x v="2"/>
    <x v="11"/>
    <s v="Dessert"/>
    <n v="1"/>
    <n v="16"/>
    <x v="2"/>
    <x v="0"/>
    <n v="16"/>
  </r>
  <r>
    <s v="BB0492"/>
    <s v="2026-08-06"/>
    <n v="2026"/>
    <x v="0"/>
    <s v="Thursday"/>
    <s v="12:11:00"/>
    <x v="9"/>
    <x v="1"/>
    <s v="Coffee"/>
    <n v="3"/>
    <n v="12"/>
    <x v="1"/>
    <x v="0"/>
    <n v="36"/>
  </r>
  <r>
    <s v="BB0043"/>
    <s v="2026-08-06"/>
    <n v="2026"/>
    <x v="0"/>
    <s v="Thursday"/>
    <s v="13:12:00"/>
    <x v="3"/>
    <x v="1"/>
    <s v="Coffee"/>
    <n v="1"/>
    <n v="12"/>
    <x v="0"/>
    <x v="0"/>
    <n v="12"/>
  </r>
  <r>
    <s v="BB0098"/>
    <s v="2026-08-06"/>
    <n v="2026"/>
    <x v="0"/>
    <s v="Thursday"/>
    <s v="13:24:00"/>
    <x v="3"/>
    <x v="1"/>
    <s v="Coffee"/>
    <n v="1"/>
    <n v="12"/>
    <x v="0"/>
    <x v="0"/>
    <n v="12"/>
  </r>
  <r>
    <s v="BB0146"/>
    <s v="2026-08-06"/>
    <n v="2026"/>
    <x v="0"/>
    <s v="Thursday"/>
    <s v="15:01:00"/>
    <x v="5"/>
    <x v="9"/>
    <s v="Coffee"/>
    <n v="1"/>
    <n v="14"/>
    <x v="2"/>
    <x v="1"/>
    <n v="14"/>
  </r>
  <r>
    <s v="BB0200"/>
    <s v="2026-08-06"/>
    <n v="2026"/>
    <x v="0"/>
    <s v="Thursday"/>
    <s v="15:17:00"/>
    <x v="5"/>
    <x v="1"/>
    <s v="Coffee"/>
    <n v="1"/>
    <n v="12"/>
    <x v="2"/>
    <x v="1"/>
    <n v="12"/>
  </r>
  <r>
    <s v="BB0379"/>
    <s v="2026-08-06"/>
    <n v="2026"/>
    <x v="0"/>
    <s v="Thursday"/>
    <s v="15:39:00"/>
    <x v="5"/>
    <x v="6"/>
    <s v="Coffee"/>
    <n v="3"/>
    <n v="7"/>
    <x v="1"/>
    <x v="1"/>
    <n v="21"/>
  </r>
  <r>
    <s v="BB0407"/>
    <s v="2026-08-06"/>
    <n v="2026"/>
    <x v="0"/>
    <s v="Thursday"/>
    <s v="15:50:00"/>
    <x v="5"/>
    <x v="3"/>
    <s v="Pastry"/>
    <n v="1"/>
    <n v="9"/>
    <x v="2"/>
    <x v="1"/>
    <n v="9"/>
  </r>
  <r>
    <s v="BB0256"/>
    <s v="2026-08-06"/>
    <n v="2026"/>
    <x v="0"/>
    <s v="Thursday"/>
    <s v="16:45:00"/>
    <x v="6"/>
    <x v="5"/>
    <s v="Coffee"/>
    <n v="1"/>
    <n v="9"/>
    <x v="0"/>
    <x v="1"/>
    <n v="9"/>
  </r>
  <r>
    <s v="BB0089"/>
    <s v="2026-08-06"/>
    <n v="2026"/>
    <x v="0"/>
    <s v="Thursday"/>
    <s v="17:35:00"/>
    <x v="10"/>
    <x v="3"/>
    <s v="Pastry"/>
    <n v="1"/>
    <n v="9"/>
    <x v="1"/>
    <x v="0"/>
    <n v="9"/>
  </r>
  <r>
    <s v="BB0488"/>
    <s v="2026-08-06"/>
    <n v="2026"/>
    <x v="0"/>
    <s v="Thursday"/>
    <s v="17:54:00"/>
    <x v="10"/>
    <x v="1"/>
    <s v="Coffee"/>
    <n v="1"/>
    <n v="12"/>
    <x v="0"/>
    <x v="1"/>
    <n v="12"/>
  </r>
  <r>
    <s v="BB0517"/>
    <s v="2026-08-07"/>
    <n v="2026"/>
    <x v="0"/>
    <s v="Friday"/>
    <s v="08:26:00"/>
    <x v="0"/>
    <x v="1"/>
    <s v="Coffee"/>
    <n v="2"/>
    <n v="12"/>
    <x v="1"/>
    <x v="0"/>
    <n v="24"/>
  </r>
  <r>
    <s v="BB0041"/>
    <s v="2026-08-07"/>
    <n v="2026"/>
    <x v="0"/>
    <s v="Friday"/>
    <s v="10:51:00"/>
    <x v="8"/>
    <x v="4"/>
    <s v="Coffee"/>
    <n v="1"/>
    <n v="13"/>
    <x v="0"/>
    <x v="1"/>
    <n v="13"/>
  </r>
  <r>
    <s v="BB0436"/>
    <s v="2026-08-07"/>
    <n v="2026"/>
    <x v="0"/>
    <s v="Friday"/>
    <s v="11:57:00"/>
    <x v="2"/>
    <x v="7"/>
    <s v="Pastry"/>
    <n v="1"/>
    <n v="8"/>
    <x v="1"/>
    <x v="1"/>
    <n v="8"/>
  </r>
  <r>
    <s v="BB0285"/>
    <s v="2026-08-07"/>
    <n v="2026"/>
    <x v="0"/>
    <s v="Friday"/>
    <s v="13:20:00"/>
    <x v="3"/>
    <x v="6"/>
    <s v="Coffee"/>
    <n v="2"/>
    <n v="7"/>
    <x v="2"/>
    <x v="0"/>
    <n v="14"/>
  </r>
  <r>
    <s v="BB0157"/>
    <s v="2026-08-07"/>
    <n v="2026"/>
    <x v="0"/>
    <s v="Friday"/>
    <s v="13:31:00"/>
    <x v="3"/>
    <x v="9"/>
    <s v="Coffee"/>
    <n v="3"/>
    <n v="14"/>
    <x v="0"/>
    <x v="1"/>
    <n v="42"/>
  </r>
  <r>
    <s v="BB0393"/>
    <s v="2026-08-07"/>
    <n v="2026"/>
    <x v="0"/>
    <s v="Friday"/>
    <s v="13:58:00"/>
    <x v="3"/>
    <x v="7"/>
    <s v="Pastry"/>
    <n v="1"/>
    <n v="8"/>
    <x v="1"/>
    <x v="1"/>
    <n v="8"/>
  </r>
  <r>
    <s v="BB0240"/>
    <s v="2026-08-07"/>
    <n v="2026"/>
    <x v="0"/>
    <s v="Friday"/>
    <s v="15:03:00"/>
    <x v="5"/>
    <x v="5"/>
    <s v="Coffee"/>
    <n v="2"/>
    <n v="9"/>
    <x v="0"/>
    <x v="1"/>
    <n v="18"/>
  </r>
  <r>
    <s v="BB0539"/>
    <s v="2026-08-07"/>
    <n v="2026"/>
    <x v="0"/>
    <s v="Friday"/>
    <s v="16:46:00"/>
    <x v="6"/>
    <x v="4"/>
    <s v="Coffee"/>
    <n v="2"/>
    <n v="13"/>
    <x v="1"/>
    <x v="0"/>
    <n v="26"/>
  </r>
  <r>
    <s v="BB0048"/>
    <s v="2026-08-07"/>
    <n v="2026"/>
    <x v="0"/>
    <s v="Friday"/>
    <s v="18:09:00"/>
    <x v="11"/>
    <x v="0"/>
    <s v="Coffee"/>
    <n v="2"/>
    <n v="15"/>
    <x v="2"/>
    <x v="0"/>
    <n v="30"/>
  </r>
  <r>
    <s v="BB0192"/>
    <s v="2026-08-08"/>
    <n v="2026"/>
    <x v="0"/>
    <s v="Saturday"/>
    <s v="08:29:00"/>
    <x v="0"/>
    <x v="1"/>
    <s v="Coffee"/>
    <n v="2"/>
    <n v="12"/>
    <x v="1"/>
    <x v="1"/>
    <n v="24"/>
  </r>
  <r>
    <s v="BB0227"/>
    <s v="2026-08-08"/>
    <n v="2026"/>
    <x v="0"/>
    <s v="Saturday"/>
    <s v="10:11:00"/>
    <x v="8"/>
    <x v="0"/>
    <s v="Coffee"/>
    <n v="1"/>
    <n v="15"/>
    <x v="1"/>
    <x v="0"/>
    <n v="15"/>
  </r>
  <r>
    <s v="BB0374"/>
    <s v="2026-08-08"/>
    <n v="2026"/>
    <x v="0"/>
    <s v="Saturday"/>
    <s v="10:46:00"/>
    <x v="8"/>
    <x v="7"/>
    <s v="Pastry"/>
    <n v="1"/>
    <n v="8"/>
    <x v="1"/>
    <x v="0"/>
    <n v="8"/>
  </r>
  <r>
    <s v="BB0522"/>
    <s v="2026-08-08"/>
    <n v="2026"/>
    <x v="0"/>
    <s v="Saturday"/>
    <s v="11:17:00"/>
    <x v="2"/>
    <x v="7"/>
    <s v="Pastry"/>
    <n v="1"/>
    <n v="8"/>
    <x v="2"/>
    <x v="1"/>
    <n v="8"/>
  </r>
  <r>
    <s v="BB0391"/>
    <s v="2026-08-08"/>
    <n v="2026"/>
    <x v="0"/>
    <s v="Saturday"/>
    <s v="11:49:00"/>
    <x v="2"/>
    <x v="4"/>
    <s v="Coffee"/>
    <n v="2"/>
    <n v="13"/>
    <x v="1"/>
    <x v="1"/>
    <n v="26"/>
  </r>
  <r>
    <s v="BB0535"/>
    <s v="2026-08-08"/>
    <n v="2026"/>
    <x v="0"/>
    <s v="Saturday"/>
    <s v="11:54:00"/>
    <x v="2"/>
    <x v="3"/>
    <s v="Pastry"/>
    <n v="1"/>
    <n v="9"/>
    <x v="0"/>
    <x v="0"/>
    <n v="9"/>
  </r>
  <r>
    <s v="BB0476"/>
    <s v="2026-08-08"/>
    <n v="2026"/>
    <x v="0"/>
    <s v="Saturday"/>
    <s v="16:14:00"/>
    <x v="6"/>
    <x v="11"/>
    <s v="Dessert"/>
    <n v="2"/>
    <n v="16"/>
    <x v="1"/>
    <x v="0"/>
    <n v="32"/>
  </r>
  <r>
    <s v="BB0198"/>
    <s v="2026-08-08"/>
    <n v="2026"/>
    <x v="0"/>
    <s v="Saturday"/>
    <s v="18:54:00"/>
    <x v="11"/>
    <x v="6"/>
    <s v="Coffee"/>
    <n v="1"/>
    <n v="7"/>
    <x v="0"/>
    <x v="1"/>
    <n v="7"/>
  </r>
  <r>
    <s v="BB0360"/>
    <s v="2026-08-08"/>
    <n v="2026"/>
    <x v="0"/>
    <s v="Saturday"/>
    <s v="19:23:00"/>
    <x v="7"/>
    <x v="3"/>
    <s v="Pastry"/>
    <n v="1"/>
    <n v="9"/>
    <x v="2"/>
    <x v="0"/>
    <n v="9"/>
  </r>
  <r>
    <s v="BB0010"/>
    <s v="2026-08-09"/>
    <n v="2026"/>
    <x v="0"/>
    <s v="Sunday"/>
    <s v="09:07:00"/>
    <x v="1"/>
    <x v="4"/>
    <s v="Coffee"/>
    <n v="1"/>
    <n v="13"/>
    <x v="1"/>
    <x v="1"/>
    <n v="13"/>
  </r>
  <r>
    <s v="BB0312"/>
    <s v="2026-08-09"/>
    <n v="2026"/>
    <x v="0"/>
    <s v="Sunday"/>
    <s v="09:42:00"/>
    <x v="1"/>
    <x v="1"/>
    <s v="Coffee"/>
    <n v="2"/>
    <n v="12"/>
    <x v="2"/>
    <x v="0"/>
    <n v="24"/>
  </r>
  <r>
    <s v="BB0099"/>
    <s v="2026-08-09"/>
    <n v="2026"/>
    <x v="0"/>
    <s v="Sunday"/>
    <s v="10:40:00"/>
    <x v="8"/>
    <x v="4"/>
    <s v="Coffee"/>
    <n v="1"/>
    <n v="13"/>
    <x v="2"/>
    <x v="0"/>
    <n v="13"/>
  </r>
  <r>
    <s v="BB0249"/>
    <s v="2026-08-09"/>
    <n v="2026"/>
    <x v="0"/>
    <s v="Sunday"/>
    <s v="12:25:00"/>
    <x v="9"/>
    <x v="10"/>
    <s v="Non-Coffee"/>
    <n v="1"/>
    <n v="12"/>
    <x v="1"/>
    <x v="1"/>
    <n v="12"/>
  </r>
  <r>
    <s v="BB0280"/>
    <s v="2026-08-09"/>
    <n v="2026"/>
    <x v="0"/>
    <s v="Sunday"/>
    <s v="12:27:00"/>
    <x v="9"/>
    <x v="6"/>
    <s v="Coffee"/>
    <n v="1"/>
    <n v="7"/>
    <x v="2"/>
    <x v="1"/>
    <n v="7"/>
  </r>
  <r>
    <s v="BB0250"/>
    <s v="2026-08-09"/>
    <n v="2026"/>
    <x v="0"/>
    <s v="Sunday"/>
    <s v="14:07:00"/>
    <x v="4"/>
    <x v="9"/>
    <s v="Coffee"/>
    <n v="1"/>
    <n v="14"/>
    <x v="0"/>
    <x v="1"/>
    <n v="14"/>
  </r>
  <r>
    <s v="BB0142"/>
    <s v="2026-08-09"/>
    <n v="2026"/>
    <x v="0"/>
    <s v="Sunday"/>
    <s v="14:43:00"/>
    <x v="4"/>
    <x v="4"/>
    <s v="Coffee"/>
    <n v="2"/>
    <n v="13"/>
    <x v="2"/>
    <x v="1"/>
    <n v="26"/>
  </r>
  <r>
    <s v="BB0296"/>
    <s v="2026-08-09"/>
    <n v="2026"/>
    <x v="0"/>
    <s v="Sunday"/>
    <s v="15:33:00"/>
    <x v="5"/>
    <x v="2"/>
    <s v="Non-Coffee"/>
    <n v="2"/>
    <n v="14"/>
    <x v="1"/>
    <x v="1"/>
    <n v="28"/>
  </r>
  <r>
    <s v="BB0503"/>
    <s v="2026-08-09"/>
    <n v="2026"/>
    <x v="0"/>
    <s v="Sunday"/>
    <s v="17:04:00"/>
    <x v="10"/>
    <x v="3"/>
    <s v="Pastry"/>
    <n v="2"/>
    <n v="9"/>
    <x v="0"/>
    <x v="0"/>
    <n v="18"/>
  </r>
  <r>
    <s v="BB0257"/>
    <s v="2026-08-10"/>
    <n v="2026"/>
    <x v="0"/>
    <s v="Monday"/>
    <s v="08:40:00"/>
    <x v="0"/>
    <x v="4"/>
    <s v="Coffee"/>
    <n v="2"/>
    <n v="13"/>
    <x v="0"/>
    <x v="0"/>
    <n v="26"/>
  </r>
  <r>
    <s v="BB0225"/>
    <s v="2026-08-10"/>
    <n v="2026"/>
    <x v="0"/>
    <s v="Monday"/>
    <s v="09:05:00"/>
    <x v="1"/>
    <x v="8"/>
    <s v="Dessert"/>
    <n v="1"/>
    <n v="10"/>
    <x v="2"/>
    <x v="0"/>
    <n v="10"/>
  </r>
  <r>
    <s v="BB0232"/>
    <s v="2026-08-10"/>
    <n v="2026"/>
    <x v="0"/>
    <s v="Monday"/>
    <s v="09:39:00"/>
    <x v="1"/>
    <x v="11"/>
    <s v="Dessert"/>
    <n v="3"/>
    <n v="16"/>
    <x v="2"/>
    <x v="0"/>
    <n v="48"/>
  </r>
  <r>
    <s v="BB0431"/>
    <s v="2026-08-10"/>
    <n v="2026"/>
    <x v="0"/>
    <s v="Monday"/>
    <s v="10:07:00"/>
    <x v="8"/>
    <x v="2"/>
    <s v="Non-Coffee"/>
    <n v="2"/>
    <n v="14"/>
    <x v="2"/>
    <x v="1"/>
    <n v="28"/>
  </r>
  <r>
    <s v="BB0284"/>
    <s v="2026-08-10"/>
    <n v="2026"/>
    <x v="0"/>
    <s v="Monday"/>
    <s v="10:16:00"/>
    <x v="8"/>
    <x v="0"/>
    <s v="Coffee"/>
    <n v="1"/>
    <n v="15"/>
    <x v="0"/>
    <x v="0"/>
    <n v="15"/>
  </r>
  <r>
    <s v="BB0210"/>
    <s v="2026-08-10"/>
    <n v="2026"/>
    <x v="0"/>
    <s v="Monday"/>
    <s v="11:37:00"/>
    <x v="2"/>
    <x v="7"/>
    <s v="Pastry"/>
    <n v="1"/>
    <n v="8"/>
    <x v="2"/>
    <x v="1"/>
    <n v="8"/>
  </r>
  <r>
    <s v="BB0426"/>
    <s v="2026-08-10"/>
    <n v="2026"/>
    <x v="0"/>
    <s v="Monday"/>
    <s v="11:38:00"/>
    <x v="2"/>
    <x v="3"/>
    <s v="Pastry"/>
    <n v="1"/>
    <n v="9"/>
    <x v="0"/>
    <x v="0"/>
    <n v="9"/>
  </r>
  <r>
    <s v="BB0432"/>
    <s v="2026-08-10"/>
    <n v="2026"/>
    <x v="0"/>
    <s v="Monday"/>
    <s v="13:01:00"/>
    <x v="3"/>
    <x v="4"/>
    <s v="Coffee"/>
    <n v="3"/>
    <n v="13"/>
    <x v="0"/>
    <x v="1"/>
    <n v="39"/>
  </r>
  <r>
    <s v="BB0118"/>
    <s v="2026-08-10"/>
    <n v="2026"/>
    <x v="0"/>
    <s v="Monday"/>
    <s v="14:04:00"/>
    <x v="4"/>
    <x v="1"/>
    <s v="Coffee"/>
    <n v="1"/>
    <n v="12"/>
    <x v="2"/>
    <x v="0"/>
    <n v="12"/>
  </r>
  <r>
    <s v="BB0482"/>
    <s v="2026-08-10"/>
    <n v="2026"/>
    <x v="0"/>
    <s v="Monday"/>
    <s v="14:13:00"/>
    <x v="4"/>
    <x v="9"/>
    <s v="Coffee"/>
    <n v="2"/>
    <n v="9"/>
    <x v="1"/>
    <x v="1"/>
    <n v="18"/>
  </r>
  <r>
    <s v="BB0224"/>
    <s v="2026-08-10"/>
    <n v="2026"/>
    <x v="0"/>
    <s v="Monday"/>
    <s v="15:36:00"/>
    <x v="5"/>
    <x v="4"/>
    <s v="Coffee"/>
    <n v="1"/>
    <n v="13"/>
    <x v="1"/>
    <x v="1"/>
    <n v="13"/>
  </r>
  <r>
    <s v="BB0009"/>
    <s v="2026-08-10"/>
    <n v="2026"/>
    <x v="0"/>
    <s v="Monday"/>
    <s v="16:00:00"/>
    <x v="6"/>
    <x v="1"/>
    <s v="Coffee"/>
    <n v="2"/>
    <n v="12"/>
    <x v="1"/>
    <x v="0"/>
    <n v="24"/>
  </r>
  <r>
    <s v="BB0084"/>
    <s v="2026-08-10"/>
    <n v="2026"/>
    <x v="0"/>
    <s v="Monday"/>
    <s v="16:10:00"/>
    <x v="6"/>
    <x v="5"/>
    <s v="Coffee"/>
    <n v="1"/>
    <n v="9"/>
    <x v="0"/>
    <x v="1"/>
    <n v="9"/>
  </r>
  <r>
    <s v="BB0417"/>
    <s v="2026-08-10"/>
    <n v="2026"/>
    <x v="0"/>
    <s v="Monday"/>
    <s v="16:29:00"/>
    <x v="6"/>
    <x v="9"/>
    <s v="Coffee"/>
    <n v="1"/>
    <n v="14"/>
    <x v="2"/>
    <x v="0"/>
    <n v="14"/>
  </r>
  <r>
    <s v="BB0179"/>
    <s v="2026-08-10"/>
    <n v="2026"/>
    <x v="0"/>
    <s v="Monday"/>
    <s v="16:48:00"/>
    <x v="6"/>
    <x v="11"/>
    <s v="Dessert"/>
    <n v="1"/>
    <n v="16"/>
    <x v="1"/>
    <x v="1"/>
    <n v="16"/>
  </r>
  <r>
    <s v="BB0079"/>
    <s v="2026-08-10"/>
    <n v="2026"/>
    <x v="0"/>
    <s v="Monday"/>
    <s v="16:54:00"/>
    <x v="6"/>
    <x v="4"/>
    <s v="Coffee"/>
    <n v="1"/>
    <n v="13"/>
    <x v="1"/>
    <x v="1"/>
    <n v="13"/>
  </r>
  <r>
    <s v="BB0485"/>
    <s v="2026-08-10"/>
    <n v="2026"/>
    <x v="0"/>
    <s v="Monday"/>
    <s v="17:22:00"/>
    <x v="10"/>
    <x v="4"/>
    <s v="Coffee"/>
    <n v="1"/>
    <n v="13"/>
    <x v="1"/>
    <x v="1"/>
    <n v="13"/>
  </r>
  <r>
    <s v="BB0389"/>
    <s v="2026-08-11"/>
    <n v="2026"/>
    <x v="0"/>
    <s v="Tuesday"/>
    <s v="08:32:00"/>
    <x v="0"/>
    <x v="8"/>
    <s v="Dessert"/>
    <n v="2"/>
    <n v="10"/>
    <x v="1"/>
    <x v="1"/>
    <n v="20"/>
  </r>
  <r>
    <s v="BB0062"/>
    <s v="2026-08-11"/>
    <n v="2026"/>
    <x v="0"/>
    <s v="Tuesday"/>
    <s v="08:47:00"/>
    <x v="0"/>
    <x v="3"/>
    <s v="Pastry"/>
    <n v="3"/>
    <n v="9"/>
    <x v="1"/>
    <x v="0"/>
    <n v="27"/>
  </r>
  <r>
    <s v="BB0173"/>
    <s v="2026-08-11"/>
    <n v="2026"/>
    <x v="0"/>
    <s v="Tuesday"/>
    <s v="09:02:00"/>
    <x v="1"/>
    <x v="6"/>
    <s v="Coffee"/>
    <n v="1"/>
    <n v="7"/>
    <x v="2"/>
    <x v="0"/>
    <n v="7"/>
  </r>
  <r>
    <s v="BB0511"/>
    <s v="2026-08-11"/>
    <n v="2026"/>
    <x v="0"/>
    <s v="Tuesday"/>
    <s v="09:17:00"/>
    <x v="1"/>
    <x v="4"/>
    <s v="Coffee"/>
    <n v="2"/>
    <n v="13"/>
    <x v="0"/>
    <x v="1"/>
    <n v="26"/>
  </r>
  <r>
    <s v="BB0287"/>
    <s v="2026-08-11"/>
    <n v="2026"/>
    <x v="0"/>
    <s v="Tuesday"/>
    <s v="09:26:00"/>
    <x v="1"/>
    <x v="6"/>
    <s v="Coffee"/>
    <n v="1"/>
    <n v="7"/>
    <x v="1"/>
    <x v="1"/>
    <n v="7"/>
  </r>
  <r>
    <s v="BB0490"/>
    <s v="2026-08-11"/>
    <n v="2026"/>
    <x v="0"/>
    <s v="Tuesday"/>
    <s v="09:31:00"/>
    <x v="1"/>
    <x v="11"/>
    <s v="Dessert"/>
    <n v="1"/>
    <n v="16"/>
    <x v="1"/>
    <x v="1"/>
    <n v="16"/>
  </r>
  <r>
    <s v="BB0493"/>
    <s v="2026-08-11"/>
    <n v="2026"/>
    <x v="0"/>
    <s v="Tuesday"/>
    <s v="09:45:00"/>
    <x v="1"/>
    <x v="5"/>
    <s v="Coffee"/>
    <n v="1"/>
    <n v="9"/>
    <x v="0"/>
    <x v="1"/>
    <n v="9"/>
  </r>
  <r>
    <s v="BB0036"/>
    <s v="2026-08-11"/>
    <n v="2026"/>
    <x v="0"/>
    <s v="Tuesday"/>
    <s v="11:52:00"/>
    <x v="2"/>
    <x v="7"/>
    <s v="Pastry"/>
    <n v="2"/>
    <n v="8"/>
    <x v="0"/>
    <x v="1"/>
    <n v="16"/>
  </r>
  <r>
    <s v="BB0355"/>
    <s v="2026-08-11"/>
    <n v="2026"/>
    <x v="0"/>
    <s v="Tuesday"/>
    <s v="12:27:00"/>
    <x v="9"/>
    <x v="1"/>
    <s v="Coffee"/>
    <n v="1"/>
    <n v="12"/>
    <x v="2"/>
    <x v="0"/>
    <n v="12"/>
  </r>
  <r>
    <s v="BB0327"/>
    <s v="2026-08-11"/>
    <n v="2026"/>
    <x v="0"/>
    <s v="Tuesday"/>
    <s v="12:29:00"/>
    <x v="9"/>
    <x v="4"/>
    <s v="Coffee"/>
    <n v="3"/>
    <n v="13"/>
    <x v="1"/>
    <x v="0"/>
    <n v="39"/>
  </r>
  <r>
    <s v="BB0161"/>
    <s v="2026-08-11"/>
    <n v="2026"/>
    <x v="0"/>
    <s v="Tuesday"/>
    <s v="13:02:00"/>
    <x v="3"/>
    <x v="5"/>
    <s v="Coffee"/>
    <n v="2"/>
    <n v="9"/>
    <x v="1"/>
    <x v="0"/>
    <n v="18"/>
  </r>
  <r>
    <s v="BB0274"/>
    <s v="2026-08-11"/>
    <n v="2026"/>
    <x v="0"/>
    <s v="Tuesday"/>
    <s v="14:04:00"/>
    <x v="4"/>
    <x v="7"/>
    <s v="Pastry"/>
    <n v="1"/>
    <n v="8"/>
    <x v="1"/>
    <x v="1"/>
    <n v="8"/>
  </r>
  <r>
    <s v="BB0253"/>
    <s v="2026-08-11"/>
    <n v="2026"/>
    <x v="0"/>
    <s v="Tuesday"/>
    <s v="14:06:00"/>
    <x v="4"/>
    <x v="8"/>
    <s v="Dessert"/>
    <n v="1"/>
    <n v="10"/>
    <x v="0"/>
    <x v="0"/>
    <n v="10"/>
  </r>
  <r>
    <s v="BB0156"/>
    <s v="2026-08-11"/>
    <n v="2026"/>
    <x v="0"/>
    <s v="Tuesday"/>
    <s v="14:23:00"/>
    <x v="4"/>
    <x v="5"/>
    <s v="Coffee"/>
    <n v="1"/>
    <n v="9"/>
    <x v="0"/>
    <x v="0"/>
    <n v="9"/>
  </r>
  <r>
    <s v="BB0464"/>
    <s v="2026-08-11"/>
    <n v="2026"/>
    <x v="0"/>
    <s v="Tuesday"/>
    <s v="15:17:00"/>
    <x v="5"/>
    <x v="4"/>
    <s v="Coffee"/>
    <n v="2"/>
    <n v="13"/>
    <x v="0"/>
    <x v="0"/>
    <n v="26"/>
  </r>
  <r>
    <s v="BB0382"/>
    <s v="2026-08-11"/>
    <n v="2026"/>
    <x v="0"/>
    <s v="Tuesday"/>
    <s v="15:41:00"/>
    <x v="5"/>
    <x v="1"/>
    <s v="Coffee"/>
    <n v="1"/>
    <n v="12"/>
    <x v="2"/>
    <x v="0"/>
    <n v="12"/>
  </r>
  <r>
    <s v="BB0357"/>
    <s v="2026-08-11"/>
    <n v="2026"/>
    <x v="0"/>
    <s v="Tuesday"/>
    <s v="18:50:00"/>
    <x v="11"/>
    <x v="7"/>
    <s v="Pastry"/>
    <n v="1"/>
    <n v="8"/>
    <x v="1"/>
    <x v="1"/>
    <n v="8"/>
  </r>
  <r>
    <s v="BB0339"/>
    <s v="2026-08-12"/>
    <n v="2026"/>
    <x v="0"/>
    <s v="Wednesday"/>
    <s v="08:50:00"/>
    <x v="0"/>
    <x v="8"/>
    <s v="Dessert"/>
    <n v="1"/>
    <n v="10"/>
    <x v="1"/>
    <x v="1"/>
    <n v="10"/>
  </r>
  <r>
    <s v="BB0003"/>
    <s v="2026-08-12"/>
    <n v="2026"/>
    <x v="0"/>
    <s v="Wednesday"/>
    <s v="10:20:00"/>
    <x v="8"/>
    <x v="11"/>
    <s v="Dessert"/>
    <n v="2"/>
    <n v="16"/>
    <x v="2"/>
    <x v="1"/>
    <n v="32"/>
  </r>
  <r>
    <s v="BB0451"/>
    <s v="2026-08-12"/>
    <n v="2026"/>
    <x v="0"/>
    <s v="Wednesday"/>
    <s v="10:46:00"/>
    <x v="8"/>
    <x v="0"/>
    <s v="Coffee"/>
    <n v="2"/>
    <n v="15"/>
    <x v="2"/>
    <x v="0"/>
    <n v="30"/>
  </r>
  <r>
    <s v="BB0110"/>
    <s v="2026-08-12"/>
    <n v="2026"/>
    <x v="0"/>
    <s v="Wednesday"/>
    <s v="11:20:00"/>
    <x v="2"/>
    <x v="4"/>
    <s v="Coffee"/>
    <n v="3"/>
    <n v="13"/>
    <x v="0"/>
    <x v="0"/>
    <n v="39"/>
  </r>
  <r>
    <s v="BB0519"/>
    <s v="2026-08-12"/>
    <n v="2026"/>
    <x v="0"/>
    <s v="Wednesday"/>
    <s v="15:00:00"/>
    <x v="5"/>
    <x v="6"/>
    <s v="Coffee"/>
    <n v="1"/>
    <n v="7"/>
    <x v="2"/>
    <x v="1"/>
    <n v="7"/>
  </r>
  <r>
    <s v="BB0416"/>
    <s v="2026-08-12"/>
    <n v="2026"/>
    <x v="0"/>
    <s v="Wednesday"/>
    <s v="15:22:00"/>
    <x v="5"/>
    <x v="4"/>
    <s v="Coffee"/>
    <n v="1"/>
    <n v="13"/>
    <x v="0"/>
    <x v="0"/>
    <n v="13"/>
  </r>
  <r>
    <s v="BB0195"/>
    <s v="2026-08-12"/>
    <n v="2026"/>
    <x v="0"/>
    <s v="Wednesday"/>
    <s v="16:26:00"/>
    <x v="6"/>
    <x v="1"/>
    <s v="Coffee"/>
    <n v="1"/>
    <n v="9"/>
    <x v="1"/>
    <x v="1"/>
    <n v="9"/>
  </r>
  <r>
    <s v="BB0352"/>
    <s v="2026-08-12"/>
    <n v="2026"/>
    <x v="0"/>
    <s v="Wednesday"/>
    <s v="17:46:00"/>
    <x v="10"/>
    <x v="9"/>
    <s v="Coffee"/>
    <n v="2"/>
    <n v="14"/>
    <x v="0"/>
    <x v="1"/>
    <n v="28"/>
  </r>
  <r>
    <s v="BB0343"/>
    <s v="2026-08-12"/>
    <n v="2026"/>
    <x v="0"/>
    <s v="Wednesday"/>
    <s v="19:08:00"/>
    <x v="7"/>
    <x v="5"/>
    <s v="Coffee"/>
    <n v="1"/>
    <n v="9"/>
    <x v="1"/>
    <x v="0"/>
    <n v="9"/>
  </r>
  <r>
    <s v="BB0082"/>
    <s v="2026-08-13"/>
    <n v="2026"/>
    <x v="0"/>
    <s v="Thursday"/>
    <s v="13:01:00"/>
    <x v="3"/>
    <x v="4"/>
    <s v="Coffee"/>
    <n v="1"/>
    <n v="13"/>
    <x v="0"/>
    <x v="1"/>
    <n v="13"/>
  </r>
  <r>
    <s v="BB0085"/>
    <s v="2026-08-13"/>
    <n v="2026"/>
    <x v="0"/>
    <s v="Thursday"/>
    <s v="13:01:00"/>
    <x v="3"/>
    <x v="1"/>
    <s v="Coffee"/>
    <n v="2"/>
    <n v="12"/>
    <x v="2"/>
    <x v="1"/>
    <n v="24"/>
  </r>
  <r>
    <s v="BB0111"/>
    <s v="2026-08-13"/>
    <n v="2026"/>
    <x v="0"/>
    <s v="Thursday"/>
    <s v="15:09:00"/>
    <x v="5"/>
    <x v="3"/>
    <s v="Pastry"/>
    <n v="2"/>
    <n v="9"/>
    <x v="0"/>
    <x v="1"/>
    <n v="18"/>
  </r>
  <r>
    <s v="BB0415"/>
    <s v="2026-08-13"/>
    <n v="2026"/>
    <x v="0"/>
    <s v="Thursday"/>
    <s v="15:09:00"/>
    <x v="5"/>
    <x v="10"/>
    <s v="Non-Coffee"/>
    <n v="1"/>
    <n v="12"/>
    <x v="2"/>
    <x v="1"/>
    <n v="12"/>
  </r>
  <r>
    <s v="BB0372"/>
    <s v="2026-08-13"/>
    <n v="2026"/>
    <x v="0"/>
    <s v="Thursday"/>
    <s v="15:25:00"/>
    <x v="5"/>
    <x v="4"/>
    <s v="Coffee"/>
    <n v="1"/>
    <n v="13"/>
    <x v="0"/>
    <x v="0"/>
    <n v="13"/>
  </r>
  <r>
    <s v="BB0472"/>
    <s v="2026-08-13"/>
    <n v="2026"/>
    <x v="0"/>
    <s v="Thursday"/>
    <s v="16:21:00"/>
    <x v="6"/>
    <x v="2"/>
    <s v="Non-Coffee"/>
    <n v="2"/>
    <n v="14"/>
    <x v="2"/>
    <x v="1"/>
    <n v="28"/>
  </r>
  <r>
    <s v="BB0270"/>
    <s v="2026-08-13"/>
    <n v="2026"/>
    <x v="0"/>
    <s v="Thursday"/>
    <s v="17:21:00"/>
    <x v="10"/>
    <x v="5"/>
    <s v="Coffee"/>
    <n v="2"/>
    <n v="9"/>
    <x v="1"/>
    <x v="1"/>
    <n v="18"/>
  </r>
  <r>
    <s v="BB0543"/>
    <s v="2026-08-14"/>
    <n v="2026"/>
    <x v="0"/>
    <s v="Friday"/>
    <s v="09:23:00"/>
    <x v="1"/>
    <x v="4"/>
    <s v="Coffee"/>
    <n v="1"/>
    <n v="13"/>
    <x v="1"/>
    <x v="0"/>
    <n v="13"/>
  </r>
  <r>
    <s v="BB0515"/>
    <s v="2026-08-14"/>
    <n v="2026"/>
    <x v="0"/>
    <s v="Friday"/>
    <s v="09:36:00"/>
    <x v="1"/>
    <x v="4"/>
    <s v="Coffee"/>
    <n v="2"/>
    <n v="13"/>
    <x v="0"/>
    <x v="1"/>
    <n v="26"/>
  </r>
  <r>
    <s v="BB0474"/>
    <s v="2026-08-14"/>
    <n v="2026"/>
    <x v="0"/>
    <s v="Friday"/>
    <s v="10:38:00"/>
    <x v="8"/>
    <x v="6"/>
    <s v="Coffee"/>
    <n v="1"/>
    <n v="7"/>
    <x v="2"/>
    <x v="0"/>
    <n v="7"/>
  </r>
  <r>
    <s v="BB0153"/>
    <s v="2026-08-14"/>
    <n v="2026"/>
    <x v="0"/>
    <s v="Friday"/>
    <s v="10:51:00"/>
    <x v="8"/>
    <x v="10"/>
    <s v="Non-Coffee"/>
    <n v="2"/>
    <n v="12"/>
    <x v="2"/>
    <x v="0"/>
    <n v="24"/>
  </r>
  <r>
    <s v="BB0137"/>
    <s v="2026-08-14"/>
    <n v="2026"/>
    <x v="0"/>
    <s v="Friday"/>
    <s v="11:11:00"/>
    <x v="2"/>
    <x v="9"/>
    <s v="Coffee"/>
    <n v="1"/>
    <n v="14"/>
    <x v="1"/>
    <x v="1"/>
    <n v="14"/>
  </r>
  <r>
    <s v="BB0330"/>
    <s v="2026-08-14"/>
    <n v="2026"/>
    <x v="0"/>
    <s v="Friday"/>
    <s v="12:42:00"/>
    <x v="9"/>
    <x v="5"/>
    <s v="Coffee"/>
    <n v="1"/>
    <n v="9"/>
    <x v="1"/>
    <x v="0"/>
    <n v="9"/>
  </r>
  <r>
    <s v="BB0424"/>
    <s v="2026-08-14"/>
    <n v="2026"/>
    <x v="0"/>
    <s v="Friday"/>
    <s v="14:12:00"/>
    <x v="4"/>
    <x v="8"/>
    <s v="Dessert"/>
    <n v="3"/>
    <n v="10"/>
    <x v="1"/>
    <x v="0"/>
    <n v="30"/>
  </r>
  <r>
    <s v="BB0505"/>
    <s v="2026-08-14"/>
    <n v="2026"/>
    <x v="0"/>
    <s v="Friday"/>
    <s v="14:48:00"/>
    <x v="4"/>
    <x v="6"/>
    <s v="Coffee"/>
    <n v="1"/>
    <n v="7"/>
    <x v="1"/>
    <x v="0"/>
    <n v="7"/>
  </r>
  <r>
    <s v="BB0035"/>
    <s v="2026-08-14"/>
    <n v="2026"/>
    <x v="0"/>
    <s v="Friday"/>
    <s v="14:53:00"/>
    <x v="4"/>
    <x v="2"/>
    <s v="Non-Coffee"/>
    <n v="1"/>
    <n v="14"/>
    <x v="0"/>
    <x v="1"/>
    <n v="14"/>
  </r>
  <r>
    <s v="BB0365"/>
    <s v="2026-08-14"/>
    <n v="2026"/>
    <x v="0"/>
    <s v="Friday"/>
    <s v="15:49:00"/>
    <x v="5"/>
    <x v="10"/>
    <s v="Non-Coffee"/>
    <n v="1"/>
    <n v="12"/>
    <x v="1"/>
    <x v="1"/>
    <n v="12"/>
  </r>
  <r>
    <s v="BB0537"/>
    <s v="2026-08-14"/>
    <n v="2026"/>
    <x v="0"/>
    <s v="Friday"/>
    <s v="15:57:00"/>
    <x v="5"/>
    <x v="5"/>
    <s v="Coffee"/>
    <n v="1"/>
    <n v="9"/>
    <x v="0"/>
    <x v="1"/>
    <n v="9"/>
  </r>
  <r>
    <s v="BB0105"/>
    <s v="2026-08-14"/>
    <n v="2026"/>
    <x v="0"/>
    <s v="Friday"/>
    <s v="17:04:00"/>
    <x v="10"/>
    <x v="7"/>
    <s v="Pastry"/>
    <n v="1"/>
    <n v="8"/>
    <x v="1"/>
    <x v="1"/>
    <n v="8"/>
  </r>
  <r>
    <s v="BB0029"/>
    <s v="2026-08-15"/>
    <n v="2026"/>
    <x v="0"/>
    <s v="Saturday"/>
    <s v="09:21:00"/>
    <x v="1"/>
    <x v="1"/>
    <s v="Coffee"/>
    <n v="2"/>
    <n v="12"/>
    <x v="1"/>
    <x v="1"/>
    <n v="24"/>
  </r>
  <r>
    <s v="BB0127"/>
    <s v="2026-08-15"/>
    <n v="2026"/>
    <x v="0"/>
    <s v="Saturday"/>
    <s v="10:16:00"/>
    <x v="8"/>
    <x v="4"/>
    <s v="Coffee"/>
    <n v="1"/>
    <n v="13"/>
    <x v="1"/>
    <x v="1"/>
    <n v="13"/>
  </r>
  <r>
    <s v="BB0367"/>
    <s v="2026-08-15"/>
    <n v="2026"/>
    <x v="0"/>
    <s v="Saturday"/>
    <s v="10:27:00"/>
    <x v="8"/>
    <x v="8"/>
    <s v="Dessert"/>
    <n v="4"/>
    <n v="10"/>
    <x v="1"/>
    <x v="0"/>
    <n v="40"/>
  </r>
  <r>
    <s v="BB0185"/>
    <s v="2026-08-15"/>
    <n v="2026"/>
    <x v="0"/>
    <s v="Saturday"/>
    <s v="13:21:00"/>
    <x v="3"/>
    <x v="6"/>
    <s v="Coffee"/>
    <n v="1"/>
    <n v="7"/>
    <x v="1"/>
    <x v="0"/>
    <n v="7"/>
  </r>
  <r>
    <s v="BB0212"/>
    <s v="2026-08-15"/>
    <n v="2026"/>
    <x v="0"/>
    <s v="Saturday"/>
    <s v="14:18:00"/>
    <x v="4"/>
    <x v="9"/>
    <s v="Coffee"/>
    <n v="2"/>
    <n v="14"/>
    <x v="2"/>
    <x v="0"/>
    <n v="28"/>
  </r>
  <r>
    <s v="BB0013"/>
    <s v="2026-08-15"/>
    <n v="2026"/>
    <x v="0"/>
    <s v="Saturday"/>
    <s v="16:55:00"/>
    <x v="6"/>
    <x v="0"/>
    <s v="Coffee"/>
    <n v="2"/>
    <n v="15"/>
    <x v="1"/>
    <x v="1"/>
    <n v="30"/>
  </r>
  <r>
    <s v="BB0030"/>
    <s v="2026-08-15"/>
    <n v="2026"/>
    <x v="0"/>
    <s v="Saturday"/>
    <s v="17:26:00"/>
    <x v="10"/>
    <x v="10"/>
    <s v="Non-Coffee"/>
    <n v="2"/>
    <n v="12"/>
    <x v="1"/>
    <x v="1"/>
    <n v="24"/>
  </r>
  <r>
    <s v="BB0489"/>
    <s v="2026-08-15"/>
    <n v="2026"/>
    <x v="0"/>
    <s v="Saturday"/>
    <s v="17:40:00"/>
    <x v="10"/>
    <x v="8"/>
    <s v="Dessert"/>
    <n v="1"/>
    <n v="10"/>
    <x v="1"/>
    <x v="0"/>
    <n v="10"/>
  </r>
  <r>
    <s v="BB0478"/>
    <s v="2026-08-15"/>
    <n v="2026"/>
    <x v="0"/>
    <s v="Saturday"/>
    <s v="17:46:00"/>
    <x v="10"/>
    <x v="8"/>
    <s v="Dessert"/>
    <n v="1"/>
    <n v="10"/>
    <x v="1"/>
    <x v="1"/>
    <n v="10"/>
  </r>
  <r>
    <s v="BB0533"/>
    <s v="2026-08-15"/>
    <n v="2026"/>
    <x v="0"/>
    <s v="Saturday"/>
    <s v="18:51:00"/>
    <x v="11"/>
    <x v="4"/>
    <s v="Coffee"/>
    <n v="1"/>
    <n v="13"/>
    <x v="2"/>
    <x v="1"/>
    <n v="13"/>
  </r>
  <r>
    <s v="BB0135"/>
    <s v="2026-08-15"/>
    <n v="2026"/>
    <x v="0"/>
    <s v="Saturday"/>
    <s v="19:42:00"/>
    <x v="7"/>
    <x v="2"/>
    <s v="Non-Coffee"/>
    <n v="1"/>
    <n v="14"/>
    <x v="0"/>
    <x v="1"/>
    <n v="14"/>
  </r>
  <r>
    <s v="BB0095"/>
    <s v="2026-08-16"/>
    <n v="2026"/>
    <x v="0"/>
    <s v="Sunday"/>
    <s v="08:06:00"/>
    <x v="0"/>
    <x v="9"/>
    <s v="Coffee"/>
    <n v="1"/>
    <n v="14"/>
    <x v="1"/>
    <x v="0"/>
    <n v="14"/>
  </r>
  <r>
    <s v="BB0100"/>
    <s v="2026-08-16"/>
    <n v="2026"/>
    <x v="0"/>
    <s v="Sunday"/>
    <s v="10:08:00"/>
    <x v="8"/>
    <x v="3"/>
    <s v="Pastry"/>
    <n v="2"/>
    <n v="9"/>
    <x v="2"/>
    <x v="0"/>
    <n v="18"/>
  </r>
  <r>
    <s v="BB0351"/>
    <s v="2026-08-16"/>
    <n v="2026"/>
    <x v="0"/>
    <s v="Sunday"/>
    <s v="11:29:00"/>
    <x v="2"/>
    <x v="2"/>
    <s v="Non-Coffee"/>
    <n v="1"/>
    <n v="14"/>
    <x v="1"/>
    <x v="0"/>
    <n v="14"/>
  </r>
  <r>
    <s v="BB0278"/>
    <s v="2026-08-16"/>
    <n v="2026"/>
    <x v="0"/>
    <s v="Sunday"/>
    <s v="11:49:00"/>
    <x v="2"/>
    <x v="1"/>
    <s v="Coffee"/>
    <n v="1"/>
    <n v="12"/>
    <x v="0"/>
    <x v="1"/>
    <n v="12"/>
  </r>
  <r>
    <s v="BB0540"/>
    <s v="2026-08-16"/>
    <n v="2026"/>
    <x v="0"/>
    <s v="Sunday"/>
    <s v="12:03:00"/>
    <x v="9"/>
    <x v="3"/>
    <s v="Pastry"/>
    <n v="1"/>
    <n v="9"/>
    <x v="1"/>
    <x v="1"/>
    <n v="9"/>
  </r>
  <r>
    <s v="BB0531"/>
    <s v="2026-08-16"/>
    <n v="2026"/>
    <x v="0"/>
    <s v="Sunday"/>
    <s v="13:12:00"/>
    <x v="3"/>
    <x v="6"/>
    <s v="Coffee"/>
    <n v="3"/>
    <n v="7"/>
    <x v="0"/>
    <x v="0"/>
    <n v="21"/>
  </r>
  <r>
    <s v="BB0547"/>
    <s v="2026-08-16"/>
    <n v="2026"/>
    <x v="0"/>
    <s v="Sunday"/>
    <s v="13:46:00"/>
    <x v="3"/>
    <x v="5"/>
    <s v="Coffee"/>
    <n v="2"/>
    <n v="9"/>
    <x v="2"/>
    <x v="1"/>
    <n v="18"/>
  </r>
  <r>
    <s v="BB0508"/>
    <s v="2026-08-16"/>
    <n v="2026"/>
    <x v="0"/>
    <s v="Sunday"/>
    <s v="14:19:00"/>
    <x v="4"/>
    <x v="8"/>
    <s v="Dessert"/>
    <n v="1"/>
    <n v="10"/>
    <x v="1"/>
    <x v="1"/>
    <n v="10"/>
  </r>
  <r>
    <s v="BB0466"/>
    <s v="2026-08-16"/>
    <n v="2026"/>
    <x v="0"/>
    <s v="Sunday"/>
    <s v="14:29:00"/>
    <x v="4"/>
    <x v="2"/>
    <s v="Non-Coffee"/>
    <n v="2"/>
    <n v="14"/>
    <x v="2"/>
    <x v="0"/>
    <n v="28"/>
  </r>
  <r>
    <s v="BB0525"/>
    <s v="2026-08-16"/>
    <n v="2026"/>
    <x v="0"/>
    <s v="Sunday"/>
    <s v="14:32:00"/>
    <x v="4"/>
    <x v="3"/>
    <s v="Pastry"/>
    <n v="2"/>
    <n v="9"/>
    <x v="2"/>
    <x v="0"/>
    <n v="18"/>
  </r>
  <r>
    <s v="BB0460"/>
    <s v="2026-08-16"/>
    <n v="2026"/>
    <x v="0"/>
    <s v="Sunday"/>
    <s v="14:37:00"/>
    <x v="4"/>
    <x v="1"/>
    <s v="Coffee"/>
    <n v="2"/>
    <n v="12"/>
    <x v="0"/>
    <x v="1"/>
    <n v="24"/>
  </r>
  <r>
    <s v="BB0418"/>
    <s v="2026-08-16"/>
    <n v="2026"/>
    <x v="0"/>
    <s v="Sunday"/>
    <s v="15:50:00"/>
    <x v="5"/>
    <x v="2"/>
    <s v="Non-Coffee"/>
    <n v="1"/>
    <n v="14"/>
    <x v="1"/>
    <x v="1"/>
    <n v="14"/>
  </r>
  <r>
    <s v="BB0144"/>
    <s v="2026-08-16"/>
    <n v="2026"/>
    <x v="0"/>
    <s v="Sunday"/>
    <s v="17:08:00"/>
    <x v="10"/>
    <x v="7"/>
    <s v="Pastry"/>
    <n v="1"/>
    <n v="8"/>
    <x v="0"/>
    <x v="1"/>
    <n v="8"/>
  </r>
  <r>
    <s v="BB0060"/>
    <s v="2026-08-16"/>
    <n v="2026"/>
    <x v="0"/>
    <s v="Sunday"/>
    <s v="19:55:00"/>
    <x v="7"/>
    <x v="9"/>
    <s v="Coffee"/>
    <n v="1"/>
    <n v="14"/>
    <x v="2"/>
    <x v="0"/>
    <n v="14"/>
  </r>
  <r>
    <s v="BB0159"/>
    <s v="2026-08-17"/>
    <n v="2026"/>
    <x v="0"/>
    <s v="Monday"/>
    <s v="10:13:00"/>
    <x v="8"/>
    <x v="3"/>
    <s v="Pastry"/>
    <n v="1"/>
    <n v="9"/>
    <x v="0"/>
    <x v="0"/>
    <n v="9"/>
  </r>
  <r>
    <s v="BB0419"/>
    <s v="2026-08-17"/>
    <n v="2026"/>
    <x v="0"/>
    <s v="Monday"/>
    <s v="12:03:00"/>
    <x v="9"/>
    <x v="5"/>
    <s v="Coffee"/>
    <n v="1"/>
    <n v="9"/>
    <x v="1"/>
    <x v="0"/>
    <n v="9"/>
  </r>
  <r>
    <s v="BB0097"/>
    <s v="2026-08-17"/>
    <n v="2026"/>
    <x v="0"/>
    <s v="Monday"/>
    <s v="13:19:00"/>
    <x v="3"/>
    <x v="6"/>
    <s v="Coffee"/>
    <n v="1"/>
    <n v="7"/>
    <x v="1"/>
    <x v="1"/>
    <n v="7"/>
  </r>
  <r>
    <s v="BB0170"/>
    <s v="2026-08-17"/>
    <n v="2026"/>
    <x v="0"/>
    <s v="Monday"/>
    <s v="14:43:00"/>
    <x v="4"/>
    <x v="1"/>
    <s v="Coffee"/>
    <n v="1"/>
    <n v="12"/>
    <x v="2"/>
    <x v="1"/>
    <n v="12"/>
  </r>
  <r>
    <s v="BB0321"/>
    <s v="2026-08-17"/>
    <n v="2026"/>
    <x v="0"/>
    <s v="Monday"/>
    <s v="15:06:00"/>
    <x v="5"/>
    <x v="8"/>
    <s v="Dessert"/>
    <n v="4"/>
    <n v="10"/>
    <x v="2"/>
    <x v="1"/>
    <n v="40"/>
  </r>
  <r>
    <s v="BB0509"/>
    <s v="2026-08-17"/>
    <n v="2026"/>
    <x v="0"/>
    <s v="Monday"/>
    <s v="16:31:00"/>
    <x v="6"/>
    <x v="8"/>
    <s v="Dessert"/>
    <n v="1"/>
    <n v="10"/>
    <x v="2"/>
    <x v="0"/>
    <n v="10"/>
  </r>
  <r>
    <s v="BB0208"/>
    <s v="2026-08-17"/>
    <n v="2026"/>
    <x v="0"/>
    <s v="Monday"/>
    <s v="16:37:00"/>
    <x v="6"/>
    <x v="11"/>
    <s v="Dessert"/>
    <n v="1"/>
    <n v="16"/>
    <x v="2"/>
    <x v="1"/>
    <n v="16"/>
  </r>
  <r>
    <s v="BB0544"/>
    <s v="2026-08-17"/>
    <n v="2026"/>
    <x v="0"/>
    <s v="Monday"/>
    <s v="16:56:00"/>
    <x v="6"/>
    <x v="2"/>
    <s v="Non-Coffee"/>
    <n v="1"/>
    <n v="14"/>
    <x v="1"/>
    <x v="0"/>
    <n v="14"/>
  </r>
  <r>
    <s v="BB0187"/>
    <s v="2026-08-17"/>
    <n v="2026"/>
    <x v="0"/>
    <s v="Monday"/>
    <s v="18:12:00"/>
    <x v="11"/>
    <x v="11"/>
    <s v="Dessert"/>
    <n v="1"/>
    <n v="16"/>
    <x v="0"/>
    <x v="0"/>
    <n v="16"/>
  </r>
  <r>
    <s v="BB0081"/>
    <s v="2026-08-17"/>
    <n v="2026"/>
    <x v="0"/>
    <s v="Monday"/>
    <s v="18:34:00"/>
    <x v="11"/>
    <x v="3"/>
    <s v="Pastry"/>
    <n v="2"/>
    <n v="9"/>
    <x v="0"/>
    <x v="1"/>
    <n v="18"/>
  </r>
  <r>
    <s v="BB0392"/>
    <s v="2026-08-17"/>
    <n v="2026"/>
    <x v="0"/>
    <s v="Monday"/>
    <s v="19:01:00"/>
    <x v="7"/>
    <x v="5"/>
    <s v="Coffee"/>
    <n v="1"/>
    <n v="9"/>
    <x v="1"/>
    <x v="1"/>
    <n v="9"/>
  </r>
  <r>
    <s v="BB0507"/>
    <s v="2026-08-17"/>
    <n v="2026"/>
    <x v="0"/>
    <s v="Monday"/>
    <s v="19:19:00"/>
    <x v="7"/>
    <x v="0"/>
    <s v="Coffee"/>
    <n v="4"/>
    <n v="15"/>
    <x v="1"/>
    <x v="0"/>
    <n v="60"/>
  </r>
  <r>
    <s v="BB0001"/>
    <s v="2026-08-18"/>
    <n v="2026"/>
    <x v="0"/>
    <s v="Tuesday"/>
    <s v="08:11:00"/>
    <x v="0"/>
    <x v="2"/>
    <s v="Non-Coffee"/>
    <n v="1"/>
    <n v="14"/>
    <x v="1"/>
    <x v="0"/>
    <n v="14"/>
  </r>
  <r>
    <s v="BB0462"/>
    <s v="2026-08-18"/>
    <n v="2026"/>
    <x v="0"/>
    <s v="Tuesday"/>
    <s v="09:27:00"/>
    <x v="1"/>
    <x v="4"/>
    <s v="Coffee"/>
    <n v="3"/>
    <n v="13"/>
    <x v="2"/>
    <x v="0"/>
    <n v="39"/>
  </r>
  <r>
    <s v="BB0233"/>
    <s v="2026-08-18"/>
    <n v="2026"/>
    <x v="0"/>
    <s v="Tuesday"/>
    <s v="09:57:00"/>
    <x v="1"/>
    <x v="6"/>
    <s v="Coffee"/>
    <n v="2"/>
    <n v="7"/>
    <x v="2"/>
    <x v="0"/>
    <n v="14"/>
  </r>
  <r>
    <s v="BB0518"/>
    <s v="2026-08-18"/>
    <n v="2026"/>
    <x v="0"/>
    <s v="Tuesday"/>
    <s v="11:41:00"/>
    <x v="2"/>
    <x v="5"/>
    <s v="Coffee"/>
    <n v="1"/>
    <n v="9"/>
    <x v="0"/>
    <x v="0"/>
    <n v="9"/>
  </r>
  <r>
    <s v="BB0260"/>
    <s v="2026-08-18"/>
    <n v="2026"/>
    <x v="0"/>
    <s v="Tuesday"/>
    <s v="15:36:00"/>
    <x v="5"/>
    <x v="1"/>
    <s v="Coffee"/>
    <n v="2"/>
    <n v="12"/>
    <x v="2"/>
    <x v="0"/>
    <n v="24"/>
  </r>
  <r>
    <s v="BB0323"/>
    <s v="2026-08-18"/>
    <n v="2026"/>
    <x v="0"/>
    <s v="Tuesday"/>
    <s v="15:53:00"/>
    <x v="5"/>
    <x v="4"/>
    <s v="Coffee"/>
    <n v="1"/>
    <n v="13"/>
    <x v="1"/>
    <x v="0"/>
    <n v="13"/>
  </r>
  <r>
    <s v="BB0516"/>
    <s v="2026-08-18"/>
    <n v="2026"/>
    <x v="0"/>
    <s v="Tuesday"/>
    <s v="16:10:00"/>
    <x v="6"/>
    <x v="4"/>
    <s v="Coffee"/>
    <n v="1"/>
    <n v="13"/>
    <x v="2"/>
    <x v="0"/>
    <n v="13"/>
  </r>
  <r>
    <s v="BB0390"/>
    <s v="2026-08-18"/>
    <n v="2026"/>
    <x v="0"/>
    <s v="Tuesday"/>
    <s v="17:17:00"/>
    <x v="10"/>
    <x v="5"/>
    <s v="Coffee"/>
    <n v="1"/>
    <n v="9"/>
    <x v="0"/>
    <x v="1"/>
    <n v="9"/>
  </r>
  <r>
    <s v="BB0442"/>
    <s v="2026-08-18"/>
    <n v="2026"/>
    <x v="0"/>
    <s v="Tuesday"/>
    <s v="17:56:00"/>
    <x v="10"/>
    <x v="4"/>
    <s v="Coffee"/>
    <n v="1"/>
    <n v="13"/>
    <x v="1"/>
    <x v="0"/>
    <n v="13"/>
  </r>
  <r>
    <s v="BB0166"/>
    <s v="2026-08-18"/>
    <n v="2026"/>
    <x v="0"/>
    <s v="Tuesday"/>
    <s v="18:11:00"/>
    <x v="11"/>
    <x v="1"/>
    <s v="Coffee"/>
    <n v="1"/>
    <n v="12"/>
    <x v="2"/>
    <x v="0"/>
    <n v="12"/>
  </r>
  <r>
    <s v="BB0206"/>
    <s v="2026-08-19"/>
    <n v="2026"/>
    <x v="0"/>
    <s v="Wednesday"/>
    <s v="08:32:00"/>
    <x v="0"/>
    <x v="7"/>
    <s v="Pastry"/>
    <n v="4"/>
    <n v="8"/>
    <x v="1"/>
    <x v="1"/>
    <n v="32"/>
  </r>
  <r>
    <s v="BB0534"/>
    <s v="2026-08-19"/>
    <n v="2026"/>
    <x v="0"/>
    <s v="Wednesday"/>
    <s v="08:38:00"/>
    <x v="0"/>
    <x v="6"/>
    <s v="Coffee"/>
    <n v="1"/>
    <n v="7"/>
    <x v="0"/>
    <x v="0"/>
    <n v="7"/>
  </r>
  <r>
    <s v="BB0063"/>
    <s v="2026-08-19"/>
    <n v="2026"/>
    <x v="0"/>
    <s v="Wednesday"/>
    <s v="11:14:00"/>
    <x v="2"/>
    <x v="7"/>
    <s v="Pastry"/>
    <n v="1"/>
    <n v="8"/>
    <x v="0"/>
    <x v="0"/>
    <n v="8"/>
  </r>
  <r>
    <s v="BB0042"/>
    <s v="2026-08-19"/>
    <n v="2026"/>
    <x v="0"/>
    <s v="Wednesday"/>
    <s v="11:42:00"/>
    <x v="2"/>
    <x v="7"/>
    <s v="Pastry"/>
    <n v="1"/>
    <n v="8"/>
    <x v="1"/>
    <x v="1"/>
    <n v="8"/>
  </r>
  <r>
    <s v="BB0334"/>
    <s v="2026-08-19"/>
    <n v="2026"/>
    <x v="0"/>
    <s v="Wednesday"/>
    <s v="13:58:00"/>
    <x v="3"/>
    <x v="5"/>
    <s v="Coffee"/>
    <n v="1"/>
    <n v="9"/>
    <x v="1"/>
    <x v="0"/>
    <n v="9"/>
  </r>
  <r>
    <s v="BB0133"/>
    <s v="2026-08-19"/>
    <n v="2026"/>
    <x v="0"/>
    <s v="Wednesday"/>
    <s v="16:14:00"/>
    <x v="6"/>
    <x v="1"/>
    <s v="Coffee"/>
    <n v="1"/>
    <n v="12"/>
    <x v="2"/>
    <x v="1"/>
    <n v="12"/>
  </r>
  <r>
    <s v="BB0109"/>
    <s v="2026-08-19"/>
    <n v="2026"/>
    <x v="0"/>
    <s v="Wednesday"/>
    <s v="16:23:00"/>
    <x v="6"/>
    <x v="5"/>
    <s v="Coffee"/>
    <n v="2"/>
    <n v="9"/>
    <x v="0"/>
    <x v="1"/>
    <n v="18"/>
  </r>
  <r>
    <s v="BB0473"/>
    <s v="2026-08-19"/>
    <n v="2026"/>
    <x v="0"/>
    <s v="Wednesday"/>
    <s v="18:32:00"/>
    <x v="11"/>
    <x v="6"/>
    <s v="Coffee"/>
    <n v="1"/>
    <n v="7"/>
    <x v="2"/>
    <x v="1"/>
    <n v="7"/>
  </r>
  <r>
    <s v="BB0066"/>
    <s v="2026-08-20"/>
    <n v="2026"/>
    <x v="0"/>
    <s v="Thursday"/>
    <s v="08:10:00"/>
    <x v="0"/>
    <x v="4"/>
    <s v="Coffee"/>
    <n v="1"/>
    <n v="13"/>
    <x v="1"/>
    <x v="0"/>
    <n v="13"/>
  </r>
  <r>
    <s v="BB0396"/>
    <s v="2026-08-20"/>
    <n v="2026"/>
    <x v="0"/>
    <s v="Thursday"/>
    <s v="08:13:00"/>
    <x v="0"/>
    <x v="5"/>
    <s v="Coffee"/>
    <n v="1"/>
    <n v="9"/>
    <x v="1"/>
    <x v="0"/>
    <n v="9"/>
  </r>
  <r>
    <s v="BB0530"/>
    <s v="2026-08-20"/>
    <n v="2026"/>
    <x v="0"/>
    <s v="Thursday"/>
    <s v="08:31:00"/>
    <x v="0"/>
    <x v="9"/>
    <s v="Coffee"/>
    <n v="2"/>
    <n v="14"/>
    <x v="2"/>
    <x v="0"/>
    <n v="28"/>
  </r>
  <r>
    <s v="BB0438"/>
    <s v="2026-08-20"/>
    <n v="2026"/>
    <x v="0"/>
    <s v="Thursday"/>
    <s v="10:36:00"/>
    <x v="8"/>
    <x v="0"/>
    <s v="Coffee"/>
    <n v="4"/>
    <n v="15"/>
    <x v="2"/>
    <x v="1"/>
    <n v="60"/>
  </r>
  <r>
    <s v="BB0138"/>
    <s v="2026-08-20"/>
    <n v="2026"/>
    <x v="0"/>
    <s v="Thursday"/>
    <s v="10:38:00"/>
    <x v="8"/>
    <x v="1"/>
    <s v="Coffee"/>
    <n v="2"/>
    <n v="12"/>
    <x v="0"/>
    <x v="1"/>
    <n v="24"/>
  </r>
  <r>
    <s v="BB0008"/>
    <s v="2026-08-20"/>
    <n v="2026"/>
    <x v="0"/>
    <s v="Thursday"/>
    <s v="10:59:00"/>
    <x v="8"/>
    <x v="8"/>
    <s v="Dessert"/>
    <n v="2"/>
    <n v="10"/>
    <x v="1"/>
    <x v="1"/>
    <n v="20"/>
  </r>
  <r>
    <s v="BB0387"/>
    <s v="2026-08-20"/>
    <n v="2026"/>
    <x v="0"/>
    <s v="Thursday"/>
    <s v="11:53:00"/>
    <x v="2"/>
    <x v="8"/>
    <s v="Dessert"/>
    <n v="1"/>
    <n v="10"/>
    <x v="0"/>
    <x v="0"/>
    <n v="10"/>
  </r>
  <r>
    <s v="BB0167"/>
    <s v="2026-08-20"/>
    <n v="2026"/>
    <x v="0"/>
    <s v="Thursday"/>
    <s v="14:29:00"/>
    <x v="4"/>
    <x v="4"/>
    <s v="Coffee"/>
    <n v="1"/>
    <n v="13"/>
    <x v="0"/>
    <x v="0"/>
    <n v="13"/>
  </r>
  <r>
    <s v="BB0427"/>
    <s v="2026-08-20"/>
    <n v="2026"/>
    <x v="0"/>
    <s v="Thursday"/>
    <s v="18:43:00"/>
    <x v="11"/>
    <x v="4"/>
    <s v="Coffee"/>
    <n v="1"/>
    <n v="13"/>
    <x v="2"/>
    <x v="0"/>
    <n v="13"/>
  </r>
  <r>
    <s v="BB0152"/>
    <s v="2026-08-21"/>
    <n v="2026"/>
    <x v="0"/>
    <s v="Friday"/>
    <s v="08:04:00"/>
    <x v="0"/>
    <x v="5"/>
    <s v="Coffee"/>
    <n v="2"/>
    <n v="9"/>
    <x v="2"/>
    <x v="0"/>
    <n v="18"/>
  </r>
  <r>
    <s v="BB0065"/>
    <s v="2026-08-21"/>
    <n v="2026"/>
    <x v="0"/>
    <s v="Friday"/>
    <s v="10:29:00"/>
    <x v="8"/>
    <x v="10"/>
    <s v="Non-Coffee"/>
    <n v="1"/>
    <n v="12"/>
    <x v="0"/>
    <x v="1"/>
    <n v="12"/>
  </r>
  <r>
    <s v="BB0455"/>
    <s v="2026-08-21"/>
    <n v="2026"/>
    <x v="0"/>
    <s v="Friday"/>
    <s v="11:35:00"/>
    <x v="2"/>
    <x v="3"/>
    <s v="Pastry"/>
    <n v="1"/>
    <n v="9"/>
    <x v="1"/>
    <x v="0"/>
    <n v="9"/>
  </r>
  <r>
    <s v="BB0314"/>
    <s v="2026-08-21"/>
    <n v="2026"/>
    <x v="0"/>
    <s v="Friday"/>
    <s v="13:38:00"/>
    <x v="3"/>
    <x v="2"/>
    <s v="Non-Coffee"/>
    <n v="1"/>
    <n v="14"/>
    <x v="2"/>
    <x v="1"/>
    <n v="14"/>
  </r>
  <r>
    <s v="BB0313"/>
    <s v="2026-08-21"/>
    <n v="2026"/>
    <x v="0"/>
    <s v="Friday"/>
    <s v="14:02:00"/>
    <x v="4"/>
    <x v="0"/>
    <s v="Coffee"/>
    <n v="2"/>
    <n v="15"/>
    <x v="1"/>
    <x v="0"/>
    <n v="30"/>
  </r>
  <r>
    <s v="BB0086"/>
    <s v="2026-08-21"/>
    <n v="2026"/>
    <x v="0"/>
    <s v="Friday"/>
    <s v="14:37:00"/>
    <x v="4"/>
    <x v="4"/>
    <s v="Coffee"/>
    <n v="1"/>
    <n v="13"/>
    <x v="2"/>
    <x v="0"/>
    <n v="13"/>
  </r>
  <r>
    <s v="BB0375"/>
    <s v="2026-08-21"/>
    <n v="2026"/>
    <x v="0"/>
    <s v="Friday"/>
    <s v="14:51:00"/>
    <x v="4"/>
    <x v="10"/>
    <s v="Non-Coffee"/>
    <n v="1"/>
    <n v="12"/>
    <x v="1"/>
    <x v="0"/>
    <n v="12"/>
  </r>
  <r>
    <s v="BB0158"/>
    <s v="2026-08-21"/>
    <n v="2026"/>
    <x v="0"/>
    <s v="Friday"/>
    <s v="15:10:00"/>
    <x v="5"/>
    <x v="4"/>
    <s v="Coffee"/>
    <n v="2"/>
    <n v="13"/>
    <x v="1"/>
    <x v="0"/>
    <n v="26"/>
  </r>
  <r>
    <s v="BB0266"/>
    <s v="2026-08-21"/>
    <n v="2026"/>
    <x v="0"/>
    <s v="Friday"/>
    <s v="17:03:00"/>
    <x v="10"/>
    <x v="7"/>
    <s v="Pastry"/>
    <n v="3"/>
    <n v="8"/>
    <x v="0"/>
    <x v="0"/>
    <n v="24"/>
  </r>
  <r>
    <s v="BB0362"/>
    <s v="2026-08-21"/>
    <n v="2026"/>
    <x v="0"/>
    <s v="Friday"/>
    <s v="18:47:00"/>
    <x v="11"/>
    <x v="10"/>
    <s v="Non-Coffee"/>
    <n v="1"/>
    <n v="12"/>
    <x v="0"/>
    <x v="1"/>
    <n v="12"/>
  </r>
  <r>
    <s v="BB0186"/>
    <s v="2026-08-21"/>
    <n v="2026"/>
    <x v="0"/>
    <s v="Friday"/>
    <s v="19:50:00"/>
    <x v="7"/>
    <x v="5"/>
    <s v="Coffee"/>
    <n v="1"/>
    <n v="9"/>
    <x v="1"/>
    <x v="0"/>
    <n v="9"/>
  </r>
  <r>
    <s v="BB0004"/>
    <s v="2026-08-21"/>
    <n v="2026"/>
    <x v="0"/>
    <s v="Friday"/>
    <s v="19:51:00"/>
    <x v="7"/>
    <x v="6"/>
    <s v="Coffee"/>
    <n v="1"/>
    <n v="7"/>
    <x v="0"/>
    <x v="0"/>
    <n v="7"/>
  </r>
  <r>
    <s v="BB0380"/>
    <s v="2026-08-22"/>
    <n v="2026"/>
    <x v="0"/>
    <s v="Saturday"/>
    <s v="08:27:00"/>
    <x v="0"/>
    <x v="0"/>
    <s v="Coffee"/>
    <n v="1"/>
    <n v="15"/>
    <x v="1"/>
    <x v="1"/>
    <n v="15"/>
  </r>
  <r>
    <s v="BB0211"/>
    <s v="2026-08-22"/>
    <n v="2026"/>
    <x v="0"/>
    <s v="Saturday"/>
    <s v="10:23:00"/>
    <x v="8"/>
    <x v="5"/>
    <s v="Coffee"/>
    <n v="1"/>
    <n v="9"/>
    <x v="0"/>
    <x v="0"/>
    <n v="9"/>
  </r>
  <r>
    <s v="BB0410"/>
    <s v="2026-08-22"/>
    <n v="2026"/>
    <x v="0"/>
    <s v="Saturday"/>
    <s v="10:36:00"/>
    <x v="8"/>
    <x v="9"/>
    <s v="Coffee"/>
    <n v="1"/>
    <n v="14"/>
    <x v="1"/>
    <x v="0"/>
    <n v="14"/>
  </r>
  <r>
    <s v="BB0047"/>
    <s v="2026-08-22"/>
    <n v="2026"/>
    <x v="0"/>
    <s v="Saturday"/>
    <s v="11:08:00"/>
    <x v="2"/>
    <x v="4"/>
    <s v="Coffee"/>
    <n v="1"/>
    <n v="13"/>
    <x v="0"/>
    <x v="0"/>
    <n v="13"/>
  </r>
  <r>
    <s v="BB0459"/>
    <s v="2026-08-22"/>
    <n v="2026"/>
    <x v="0"/>
    <s v="Saturday"/>
    <s v="12:01:00"/>
    <x v="9"/>
    <x v="2"/>
    <s v="Non-Coffee"/>
    <n v="1"/>
    <n v="14"/>
    <x v="1"/>
    <x v="1"/>
    <n v="14"/>
  </r>
  <r>
    <s v="BB0199"/>
    <s v="2026-08-22"/>
    <n v="2026"/>
    <x v="0"/>
    <s v="Saturday"/>
    <s v="12:55:00"/>
    <x v="9"/>
    <x v="7"/>
    <s v="Pastry"/>
    <n v="1"/>
    <n v="8"/>
    <x v="1"/>
    <x v="0"/>
    <n v="8"/>
  </r>
  <r>
    <s v="BB0477"/>
    <s v="2026-08-22"/>
    <n v="2026"/>
    <x v="0"/>
    <s v="Saturday"/>
    <s v="12:58:00"/>
    <x v="9"/>
    <x v="4"/>
    <s v="Coffee"/>
    <n v="3"/>
    <n v="13"/>
    <x v="1"/>
    <x v="1"/>
    <n v="39"/>
  </r>
  <r>
    <s v="BB0188"/>
    <s v="2026-08-22"/>
    <n v="2026"/>
    <x v="0"/>
    <s v="Saturday"/>
    <s v="14:03:00"/>
    <x v="4"/>
    <x v="5"/>
    <s v="Coffee"/>
    <n v="3"/>
    <n v="9"/>
    <x v="1"/>
    <x v="1"/>
    <n v="27"/>
  </r>
  <r>
    <s v="BB0241"/>
    <s v="2026-08-22"/>
    <n v="2026"/>
    <x v="0"/>
    <s v="Saturday"/>
    <s v="14:14:00"/>
    <x v="4"/>
    <x v="5"/>
    <s v="Coffee"/>
    <n v="1"/>
    <n v="9"/>
    <x v="2"/>
    <x v="1"/>
    <n v="9"/>
  </r>
  <r>
    <s v="BB0131"/>
    <s v="2026-08-22"/>
    <n v="2026"/>
    <x v="0"/>
    <s v="Saturday"/>
    <s v="15:13:00"/>
    <x v="5"/>
    <x v="0"/>
    <s v="Coffee"/>
    <n v="1"/>
    <n v="15"/>
    <x v="1"/>
    <x v="1"/>
    <n v="15"/>
  </r>
  <r>
    <s v="BB0449"/>
    <s v="2026-08-22"/>
    <n v="2026"/>
    <x v="0"/>
    <s v="Saturday"/>
    <s v="15:35:00"/>
    <x v="5"/>
    <x v="11"/>
    <s v="Dessert"/>
    <n v="1"/>
    <n v="16"/>
    <x v="0"/>
    <x v="0"/>
    <n v="16"/>
  </r>
  <r>
    <s v="BB0077"/>
    <s v="2026-08-22"/>
    <n v="2026"/>
    <x v="0"/>
    <s v="Saturday"/>
    <s v="15:41:00"/>
    <x v="5"/>
    <x v="2"/>
    <s v="Non-Coffee"/>
    <n v="1"/>
    <n v="14"/>
    <x v="1"/>
    <x v="0"/>
    <n v="14"/>
  </r>
  <r>
    <s v="BB0219"/>
    <s v="2026-08-22"/>
    <n v="2026"/>
    <x v="0"/>
    <s v="Saturday"/>
    <s v="15:43:00"/>
    <x v="5"/>
    <x v="3"/>
    <s v="Pastry"/>
    <n v="1"/>
    <n v="9"/>
    <x v="0"/>
    <x v="1"/>
    <n v="9"/>
  </r>
  <r>
    <s v="BB0332"/>
    <s v="2026-08-22"/>
    <n v="2026"/>
    <x v="0"/>
    <s v="Saturday"/>
    <s v="16:36:00"/>
    <x v="6"/>
    <x v="6"/>
    <s v="Coffee"/>
    <n v="1"/>
    <n v="7"/>
    <x v="1"/>
    <x v="1"/>
    <n v="7"/>
  </r>
  <r>
    <s v="BB0123"/>
    <s v="2026-08-22"/>
    <n v="2026"/>
    <x v="0"/>
    <s v="Saturday"/>
    <s v="16:54:00"/>
    <x v="6"/>
    <x v="8"/>
    <s v="Dessert"/>
    <n v="1"/>
    <n v="10"/>
    <x v="1"/>
    <x v="0"/>
    <n v="10"/>
  </r>
  <r>
    <s v="BB0532"/>
    <s v="2026-08-22"/>
    <n v="2026"/>
    <x v="0"/>
    <s v="Saturday"/>
    <s v="17:09:00"/>
    <x v="10"/>
    <x v="11"/>
    <s v="Dessert"/>
    <n v="1"/>
    <n v="16"/>
    <x v="1"/>
    <x v="0"/>
    <n v="16"/>
  </r>
  <r>
    <s v="BB0322"/>
    <s v="2026-08-22"/>
    <n v="2026"/>
    <x v="0"/>
    <s v="Saturday"/>
    <s v="17:16:00"/>
    <x v="10"/>
    <x v="6"/>
    <s v="Coffee"/>
    <n v="1"/>
    <n v="7"/>
    <x v="1"/>
    <x v="0"/>
    <n v="7"/>
  </r>
  <r>
    <s v="BB0364"/>
    <s v="2026-08-22"/>
    <n v="2026"/>
    <x v="0"/>
    <s v="Saturday"/>
    <s v="17:22:00"/>
    <x v="10"/>
    <x v="4"/>
    <s v="Coffee"/>
    <n v="1"/>
    <n v="13"/>
    <x v="2"/>
    <x v="0"/>
    <n v="13"/>
  </r>
  <r>
    <s v="BB0320"/>
    <s v="2026-08-22"/>
    <n v="2026"/>
    <x v="0"/>
    <s v="Saturday"/>
    <s v="17:28:00"/>
    <x v="10"/>
    <x v="7"/>
    <s v="Pastry"/>
    <n v="3"/>
    <n v="8"/>
    <x v="0"/>
    <x v="1"/>
    <n v="24"/>
  </r>
  <r>
    <s v="BB0381"/>
    <s v="2026-08-22"/>
    <n v="2026"/>
    <x v="0"/>
    <s v="Saturday"/>
    <s v="18:31:00"/>
    <x v="11"/>
    <x v="7"/>
    <s v="Pastry"/>
    <n v="1"/>
    <n v="8"/>
    <x v="0"/>
    <x v="1"/>
    <n v="8"/>
  </r>
  <r>
    <s v="BB0024"/>
    <s v="2026-08-23"/>
    <n v="2026"/>
    <x v="0"/>
    <s v="Sunday"/>
    <s v="11:47:00"/>
    <x v="2"/>
    <x v="4"/>
    <s v="Coffee"/>
    <n v="1"/>
    <n v="13"/>
    <x v="0"/>
    <x v="0"/>
    <n v="13"/>
  </r>
  <r>
    <s v="BB0052"/>
    <s v="2026-08-23"/>
    <n v="2026"/>
    <x v="0"/>
    <s v="Sunday"/>
    <s v="12:10:00"/>
    <x v="9"/>
    <x v="3"/>
    <s v="Pastry"/>
    <n v="1"/>
    <n v="9"/>
    <x v="1"/>
    <x v="0"/>
    <n v="9"/>
  </r>
  <r>
    <s v="BB0006"/>
    <s v="2026-08-23"/>
    <n v="2026"/>
    <x v="0"/>
    <s v="Sunday"/>
    <s v="13:20:00"/>
    <x v="3"/>
    <x v="4"/>
    <s v="Coffee"/>
    <n v="1"/>
    <n v="13"/>
    <x v="2"/>
    <x v="1"/>
    <n v="13"/>
  </r>
  <r>
    <s v="BB0169"/>
    <s v="2026-08-23"/>
    <n v="2026"/>
    <x v="0"/>
    <s v="Sunday"/>
    <s v="15:06:00"/>
    <x v="5"/>
    <x v="4"/>
    <s v="Coffee"/>
    <n v="2"/>
    <n v="13"/>
    <x v="0"/>
    <x v="0"/>
    <n v="26"/>
  </r>
  <r>
    <s v="BB0406"/>
    <s v="2026-08-23"/>
    <n v="2026"/>
    <x v="0"/>
    <s v="Sunday"/>
    <s v="15:19:00"/>
    <x v="5"/>
    <x v="9"/>
    <s v="Coffee"/>
    <n v="1"/>
    <n v="14"/>
    <x v="0"/>
    <x v="0"/>
    <n v="14"/>
  </r>
  <r>
    <s v="BB0363"/>
    <s v="2026-08-23"/>
    <n v="2026"/>
    <x v="0"/>
    <s v="Sunday"/>
    <s v="15:37:00"/>
    <x v="5"/>
    <x v="4"/>
    <s v="Coffee"/>
    <n v="1"/>
    <n v="13"/>
    <x v="1"/>
    <x v="1"/>
    <n v="13"/>
  </r>
  <r>
    <s v="BB0299"/>
    <s v="2026-08-23"/>
    <n v="2026"/>
    <x v="0"/>
    <s v="Sunday"/>
    <s v="16:01:00"/>
    <x v="6"/>
    <x v="2"/>
    <s v="Non-Coffee"/>
    <n v="1"/>
    <n v="14"/>
    <x v="0"/>
    <x v="1"/>
    <n v="14"/>
  </r>
  <r>
    <s v="BB0444"/>
    <s v="2026-08-23"/>
    <n v="2026"/>
    <x v="0"/>
    <s v="Sunday"/>
    <s v="16:43:00"/>
    <x v="6"/>
    <x v="5"/>
    <s v="Coffee"/>
    <n v="2"/>
    <n v="9"/>
    <x v="1"/>
    <x v="0"/>
    <n v="18"/>
  </r>
  <r>
    <s v="BB0021"/>
    <s v="2026-08-23"/>
    <n v="2026"/>
    <x v="0"/>
    <s v="Sunday"/>
    <s v="17:23:00"/>
    <x v="10"/>
    <x v="4"/>
    <s v="Coffee"/>
    <n v="1"/>
    <n v="13"/>
    <x v="0"/>
    <x v="0"/>
    <n v="13"/>
  </r>
  <r>
    <s v="BB0145"/>
    <s v="2026-08-23"/>
    <n v="2026"/>
    <x v="0"/>
    <s v="Sunday"/>
    <s v="18:26:00"/>
    <x v="11"/>
    <x v="4"/>
    <s v="Coffee"/>
    <n v="1"/>
    <n v="13"/>
    <x v="2"/>
    <x v="1"/>
    <n v="13"/>
  </r>
  <r>
    <s v="BB0469"/>
    <s v="2026-08-23"/>
    <n v="2026"/>
    <x v="0"/>
    <s v="Sunday"/>
    <s v="18:30:00"/>
    <x v="11"/>
    <x v="2"/>
    <s v="Non-Coffee"/>
    <n v="2"/>
    <n v="14"/>
    <x v="2"/>
    <x v="1"/>
    <n v="28"/>
  </r>
  <r>
    <s v="BB0154"/>
    <s v="2026-08-24"/>
    <n v="2026"/>
    <x v="0"/>
    <s v="Monday"/>
    <s v="09:58:00"/>
    <x v="1"/>
    <x v="4"/>
    <s v="Coffee"/>
    <n v="1"/>
    <n v="13"/>
    <x v="0"/>
    <x v="1"/>
    <n v="13"/>
  </r>
  <r>
    <s v="BB0235"/>
    <s v="2026-08-24"/>
    <n v="2026"/>
    <x v="0"/>
    <s v="Monday"/>
    <s v="10:22:00"/>
    <x v="8"/>
    <x v="7"/>
    <s v="Pastry"/>
    <n v="2"/>
    <n v="8"/>
    <x v="1"/>
    <x v="1"/>
    <n v="16"/>
  </r>
  <r>
    <s v="BB0155"/>
    <s v="2026-08-24"/>
    <n v="2026"/>
    <x v="0"/>
    <s v="Monday"/>
    <s v="13:34:00"/>
    <x v="3"/>
    <x v="0"/>
    <s v="Coffee"/>
    <n v="1"/>
    <n v="15"/>
    <x v="2"/>
    <x v="1"/>
    <n v="15"/>
  </r>
  <r>
    <s v="BB0452"/>
    <s v="2026-08-24"/>
    <n v="2026"/>
    <x v="0"/>
    <s v="Monday"/>
    <s v="14:10:00"/>
    <x v="4"/>
    <x v="2"/>
    <s v="Non-Coffee"/>
    <n v="1"/>
    <n v="14"/>
    <x v="0"/>
    <x v="1"/>
    <n v="14"/>
  </r>
  <r>
    <s v="BB0115"/>
    <s v="2026-08-24"/>
    <n v="2026"/>
    <x v="0"/>
    <s v="Monday"/>
    <s v="14:18:00"/>
    <x v="4"/>
    <x v="9"/>
    <s v="Coffee"/>
    <n v="1"/>
    <n v="14"/>
    <x v="0"/>
    <x v="0"/>
    <n v="14"/>
  </r>
  <r>
    <s v="BB0243"/>
    <s v="2026-08-24"/>
    <n v="2026"/>
    <x v="0"/>
    <s v="Monday"/>
    <s v="15:40:00"/>
    <x v="5"/>
    <x v="6"/>
    <s v="Coffee"/>
    <n v="1"/>
    <n v="7"/>
    <x v="1"/>
    <x v="0"/>
    <n v="7"/>
  </r>
  <r>
    <s v="BB0463"/>
    <s v="2026-08-24"/>
    <n v="2026"/>
    <x v="0"/>
    <s v="Monday"/>
    <s v="16:35:00"/>
    <x v="6"/>
    <x v="11"/>
    <s v="Dessert"/>
    <n v="1"/>
    <n v="16"/>
    <x v="1"/>
    <x v="1"/>
    <n v="16"/>
  </r>
  <r>
    <s v="BB0310"/>
    <s v="2026-08-24"/>
    <n v="2026"/>
    <x v="0"/>
    <s v="Monday"/>
    <s v="17:16:00"/>
    <x v="10"/>
    <x v="4"/>
    <s v="Coffee"/>
    <n v="1"/>
    <n v="13"/>
    <x v="1"/>
    <x v="0"/>
    <n v="13"/>
  </r>
  <r>
    <s v="BB0139"/>
    <s v="2026-08-24"/>
    <n v="2026"/>
    <x v="0"/>
    <s v="Monday"/>
    <s v="17:22:00"/>
    <x v="10"/>
    <x v="1"/>
    <s v="Coffee"/>
    <n v="1"/>
    <n v="12"/>
    <x v="1"/>
    <x v="1"/>
    <n v="12"/>
  </r>
  <r>
    <s v="BB0456"/>
    <s v="2026-08-24"/>
    <n v="2026"/>
    <x v="0"/>
    <s v="Monday"/>
    <s v="18:46:00"/>
    <x v="11"/>
    <x v="10"/>
    <s v="Non-Coffee"/>
    <n v="1"/>
    <n v="12"/>
    <x v="1"/>
    <x v="0"/>
    <n v="12"/>
  </r>
  <r>
    <s v="BB0205"/>
    <s v="2026-08-24"/>
    <n v="2026"/>
    <x v="0"/>
    <s v="Monday"/>
    <s v="19:45:00"/>
    <x v="7"/>
    <x v="2"/>
    <s v="Non-Coffee"/>
    <n v="2"/>
    <n v="14"/>
    <x v="2"/>
    <x v="1"/>
    <n v="28"/>
  </r>
  <r>
    <s v="BB0034"/>
    <s v="2026-08-25"/>
    <n v="2026"/>
    <x v="0"/>
    <s v="Tuesday"/>
    <s v="08:29:00"/>
    <x v="0"/>
    <x v="10"/>
    <s v="Non-Coffee"/>
    <n v="1"/>
    <n v="12"/>
    <x v="1"/>
    <x v="1"/>
    <n v="12"/>
  </r>
  <r>
    <s v="BB0439"/>
    <s v="2026-08-25"/>
    <n v="2026"/>
    <x v="0"/>
    <s v="Tuesday"/>
    <s v="08:49:00"/>
    <x v="0"/>
    <x v="0"/>
    <s v="Coffee"/>
    <n v="1"/>
    <n v="15"/>
    <x v="2"/>
    <x v="0"/>
    <n v="15"/>
  </r>
  <r>
    <s v="BB0236"/>
    <s v="2026-08-25"/>
    <n v="2026"/>
    <x v="0"/>
    <s v="Tuesday"/>
    <s v="10:41:00"/>
    <x v="8"/>
    <x v="6"/>
    <s v="Coffee"/>
    <n v="1"/>
    <n v="7"/>
    <x v="1"/>
    <x v="0"/>
    <n v="7"/>
  </r>
  <r>
    <s v="BB0117"/>
    <s v="2026-08-25"/>
    <n v="2026"/>
    <x v="0"/>
    <s v="Tuesday"/>
    <s v="10:46:00"/>
    <x v="8"/>
    <x v="7"/>
    <s v="Pastry"/>
    <n v="2"/>
    <n v="8"/>
    <x v="2"/>
    <x v="1"/>
    <n v="16"/>
  </r>
  <r>
    <s v="BB0305"/>
    <s v="2026-08-25"/>
    <n v="2026"/>
    <x v="0"/>
    <s v="Tuesday"/>
    <s v="11:20:00"/>
    <x v="2"/>
    <x v="9"/>
    <s v="Coffee"/>
    <n v="1"/>
    <n v="14"/>
    <x v="1"/>
    <x v="1"/>
    <n v="14"/>
  </r>
  <r>
    <s v="BB0378"/>
    <s v="2026-08-25"/>
    <n v="2026"/>
    <x v="0"/>
    <s v="Tuesday"/>
    <s v="12:02:00"/>
    <x v="9"/>
    <x v="5"/>
    <s v="Coffee"/>
    <n v="1"/>
    <n v="9"/>
    <x v="2"/>
    <x v="0"/>
    <n v="9"/>
  </r>
  <r>
    <s v="BB0121"/>
    <s v="2026-08-25"/>
    <n v="2026"/>
    <x v="0"/>
    <s v="Tuesday"/>
    <s v="12:20:00"/>
    <x v="9"/>
    <x v="5"/>
    <s v="Coffee"/>
    <n v="1"/>
    <n v="9"/>
    <x v="0"/>
    <x v="1"/>
    <n v="9"/>
  </r>
  <r>
    <s v="BB0292"/>
    <s v="2026-08-25"/>
    <n v="2026"/>
    <x v="0"/>
    <s v="Tuesday"/>
    <s v="13:16:00"/>
    <x v="3"/>
    <x v="5"/>
    <s v="Coffee"/>
    <n v="1"/>
    <n v="9"/>
    <x v="2"/>
    <x v="0"/>
    <n v="9"/>
  </r>
  <r>
    <s v="BB0347"/>
    <s v="2026-08-25"/>
    <n v="2026"/>
    <x v="0"/>
    <s v="Tuesday"/>
    <s v="13:51:00"/>
    <x v="3"/>
    <x v="8"/>
    <s v="Dessert"/>
    <n v="1"/>
    <n v="10"/>
    <x v="1"/>
    <x v="1"/>
    <n v="10"/>
  </r>
  <r>
    <s v="BB0450"/>
    <s v="2026-08-25"/>
    <n v="2026"/>
    <x v="0"/>
    <s v="Tuesday"/>
    <s v="14:00:00"/>
    <x v="4"/>
    <x v="6"/>
    <s v="Coffee"/>
    <n v="2"/>
    <n v="7"/>
    <x v="1"/>
    <x v="1"/>
    <n v="14"/>
  </r>
  <r>
    <s v="BB0033"/>
    <s v="2026-08-25"/>
    <n v="2026"/>
    <x v="0"/>
    <s v="Tuesday"/>
    <s v="14:14:00"/>
    <x v="4"/>
    <x v="9"/>
    <s v="Coffee"/>
    <n v="2"/>
    <n v="14"/>
    <x v="2"/>
    <x v="1"/>
    <n v="28"/>
  </r>
  <r>
    <s v="BB0203"/>
    <s v="2026-08-25"/>
    <n v="2026"/>
    <x v="0"/>
    <s v="Tuesday"/>
    <s v="14:41:00"/>
    <x v="4"/>
    <x v="0"/>
    <s v="Coffee"/>
    <n v="1"/>
    <n v="15"/>
    <x v="2"/>
    <x v="0"/>
    <n v="15"/>
  </r>
  <r>
    <s v="BB0397"/>
    <s v="2026-08-25"/>
    <n v="2026"/>
    <x v="0"/>
    <s v="Tuesday"/>
    <s v="16:25:00"/>
    <x v="6"/>
    <x v="3"/>
    <s v="Pastry"/>
    <n v="1"/>
    <n v="9"/>
    <x v="1"/>
    <x v="1"/>
    <n v="9"/>
  </r>
  <r>
    <s v="BB0348"/>
    <s v="2026-08-25"/>
    <n v="2026"/>
    <x v="0"/>
    <s v="Tuesday"/>
    <s v="19:18:00"/>
    <x v="7"/>
    <x v="5"/>
    <s v="Coffee"/>
    <n v="3"/>
    <n v="9"/>
    <x v="0"/>
    <x v="1"/>
    <n v="27"/>
  </r>
  <r>
    <s v="BB0126"/>
    <s v="2026-08-26"/>
    <n v="2026"/>
    <x v="0"/>
    <s v="Wednesday"/>
    <s v="09:08:00"/>
    <x v="1"/>
    <x v="6"/>
    <s v="Coffee"/>
    <n v="1"/>
    <n v="7"/>
    <x v="1"/>
    <x v="1"/>
    <n v="7"/>
  </r>
  <r>
    <s v="BB0247"/>
    <s v="2026-08-26"/>
    <n v="2026"/>
    <x v="0"/>
    <s v="Wednesday"/>
    <s v="09:48:00"/>
    <x v="1"/>
    <x v="4"/>
    <s v="Coffee"/>
    <n v="1"/>
    <n v="13"/>
    <x v="1"/>
    <x v="1"/>
    <n v="13"/>
  </r>
  <r>
    <s v="BB0528"/>
    <s v="2026-08-26"/>
    <n v="2026"/>
    <x v="0"/>
    <s v="Wednesday"/>
    <s v="10:12:00"/>
    <x v="8"/>
    <x v="3"/>
    <s v="Pastry"/>
    <n v="1"/>
    <n v="9"/>
    <x v="1"/>
    <x v="0"/>
    <n v="9"/>
  </r>
  <r>
    <s v="BB0174"/>
    <s v="2026-08-26"/>
    <n v="2026"/>
    <x v="0"/>
    <s v="Wednesday"/>
    <s v="10:17:00"/>
    <x v="8"/>
    <x v="4"/>
    <s v="Coffee"/>
    <n v="1"/>
    <n v="13"/>
    <x v="1"/>
    <x v="1"/>
    <n v="13"/>
  </r>
  <r>
    <s v="BB0545"/>
    <s v="2026-08-26"/>
    <n v="2026"/>
    <x v="0"/>
    <s v="Wednesday"/>
    <s v="10:28:00"/>
    <x v="8"/>
    <x v="2"/>
    <s v="Non-Coffee"/>
    <n v="1"/>
    <n v="14"/>
    <x v="2"/>
    <x v="0"/>
    <n v="14"/>
  </r>
  <r>
    <s v="BB0371"/>
    <s v="2026-08-26"/>
    <n v="2026"/>
    <x v="0"/>
    <s v="Wednesday"/>
    <s v="10:40:00"/>
    <x v="8"/>
    <x v="9"/>
    <s v="Coffee"/>
    <n v="1"/>
    <n v="14"/>
    <x v="1"/>
    <x v="1"/>
    <n v="14"/>
  </r>
  <r>
    <s v="BB0536"/>
    <s v="2026-08-26"/>
    <n v="2026"/>
    <x v="0"/>
    <s v="Wednesday"/>
    <s v="12:53:00"/>
    <x v="9"/>
    <x v="5"/>
    <s v="Coffee"/>
    <n v="1"/>
    <n v="9"/>
    <x v="0"/>
    <x v="0"/>
    <n v="9"/>
  </r>
  <r>
    <s v="BB0307"/>
    <s v="2026-08-26"/>
    <n v="2026"/>
    <x v="0"/>
    <s v="Wednesday"/>
    <s v="16:07:00"/>
    <x v="6"/>
    <x v="4"/>
    <s v="Coffee"/>
    <n v="2"/>
    <n v="13"/>
    <x v="2"/>
    <x v="0"/>
    <n v="26"/>
  </r>
  <r>
    <s v="BB0297"/>
    <s v="2026-08-26"/>
    <n v="2026"/>
    <x v="0"/>
    <s v="Wednesday"/>
    <s v="16:41:00"/>
    <x v="6"/>
    <x v="1"/>
    <s v="Coffee"/>
    <n v="1"/>
    <n v="12"/>
    <x v="0"/>
    <x v="0"/>
    <n v="12"/>
  </r>
  <r>
    <s v="BB0255"/>
    <s v="2026-08-26"/>
    <n v="2026"/>
    <x v="0"/>
    <s v="Wednesday"/>
    <s v="16:53:00"/>
    <x v="6"/>
    <x v="1"/>
    <s v="Coffee"/>
    <n v="1"/>
    <n v="12"/>
    <x v="1"/>
    <x v="1"/>
    <n v="12"/>
  </r>
  <r>
    <s v="BB0457"/>
    <s v="2026-08-26"/>
    <n v="2026"/>
    <x v="0"/>
    <s v="Wednesday"/>
    <s v="17:37:00"/>
    <x v="10"/>
    <x v="8"/>
    <s v="Dessert"/>
    <n v="2"/>
    <n v="10"/>
    <x v="1"/>
    <x v="1"/>
    <n v="20"/>
  </r>
  <r>
    <s v="BB0028"/>
    <s v="2026-08-26"/>
    <n v="2026"/>
    <x v="0"/>
    <s v="Wednesday"/>
    <s v="17:38:00"/>
    <x v="10"/>
    <x v="9"/>
    <s v="Coffee"/>
    <n v="2"/>
    <n v="14"/>
    <x v="0"/>
    <x v="0"/>
    <n v="28"/>
  </r>
  <r>
    <s v="BB0096"/>
    <s v="2026-08-26"/>
    <n v="2026"/>
    <x v="0"/>
    <s v="Wednesday"/>
    <s v="18:13:00"/>
    <x v="11"/>
    <x v="9"/>
    <s v="Coffee"/>
    <n v="2"/>
    <n v="14"/>
    <x v="1"/>
    <x v="1"/>
    <n v="28"/>
  </r>
  <r>
    <s v="BB0413"/>
    <s v="2026-08-26"/>
    <n v="2026"/>
    <x v="0"/>
    <s v="Wednesday"/>
    <s v="18:35:00"/>
    <x v="11"/>
    <x v="5"/>
    <s v="Coffee"/>
    <n v="1"/>
    <n v="9"/>
    <x v="2"/>
    <x v="0"/>
    <n v="9"/>
  </r>
  <r>
    <s v="BB0031"/>
    <s v="2026-08-26"/>
    <n v="2026"/>
    <x v="0"/>
    <s v="Wednesday"/>
    <s v="19:25:00"/>
    <x v="7"/>
    <x v="7"/>
    <s v="Pastry"/>
    <n v="1"/>
    <n v="8"/>
    <x v="0"/>
    <x v="0"/>
    <n v="8"/>
  </r>
  <r>
    <s v="BB0411"/>
    <s v="2026-08-27"/>
    <n v="2026"/>
    <x v="0"/>
    <s v="Thursday"/>
    <s v="10:03:00"/>
    <x v="8"/>
    <x v="7"/>
    <s v="Pastry"/>
    <n v="1"/>
    <n v="8"/>
    <x v="2"/>
    <x v="0"/>
    <n v="8"/>
  </r>
  <r>
    <s v="BB0368"/>
    <s v="2026-08-27"/>
    <n v="2026"/>
    <x v="0"/>
    <s v="Thursday"/>
    <s v="10:55:00"/>
    <x v="8"/>
    <x v="6"/>
    <s v="Coffee"/>
    <n v="1"/>
    <n v="7"/>
    <x v="1"/>
    <x v="0"/>
    <n v="7"/>
  </r>
  <r>
    <s v="BB0510"/>
    <s v="2026-08-27"/>
    <n v="2026"/>
    <x v="0"/>
    <s v="Thursday"/>
    <s v="11:36:00"/>
    <x v="2"/>
    <x v="9"/>
    <s v="Coffee"/>
    <n v="1"/>
    <n v="14"/>
    <x v="0"/>
    <x v="0"/>
    <n v="14"/>
  </r>
  <r>
    <s v="BB0181"/>
    <s v="2026-08-27"/>
    <n v="2026"/>
    <x v="0"/>
    <s v="Thursday"/>
    <s v="11:49:00"/>
    <x v="2"/>
    <x v="2"/>
    <s v="Non-Coffee"/>
    <n v="2"/>
    <n v="14"/>
    <x v="1"/>
    <x v="0"/>
    <n v="28"/>
  </r>
  <r>
    <s v="BB0164"/>
    <s v="2026-08-27"/>
    <n v="2026"/>
    <x v="0"/>
    <s v="Thursday"/>
    <s v="12:19:00"/>
    <x v="9"/>
    <x v="5"/>
    <s v="Coffee"/>
    <n v="1"/>
    <n v="9"/>
    <x v="1"/>
    <x v="1"/>
    <n v="9"/>
  </r>
  <r>
    <s v="BB0078"/>
    <s v="2026-08-27"/>
    <n v="2026"/>
    <x v="0"/>
    <s v="Thursday"/>
    <s v="12:24:00"/>
    <x v="9"/>
    <x v="5"/>
    <s v="Coffee"/>
    <n v="2"/>
    <n v="9"/>
    <x v="1"/>
    <x v="1"/>
    <n v="18"/>
  </r>
  <r>
    <s v="BB0083"/>
    <s v="2026-08-27"/>
    <n v="2026"/>
    <x v="0"/>
    <s v="Thursday"/>
    <s v="14:48:00"/>
    <x v="4"/>
    <x v="8"/>
    <s v="Dessert"/>
    <n v="1"/>
    <n v="10"/>
    <x v="1"/>
    <x v="0"/>
    <n v="10"/>
  </r>
  <r>
    <s v="BB0538"/>
    <s v="2026-08-27"/>
    <n v="2026"/>
    <x v="0"/>
    <s v="Thursday"/>
    <s v="14:50:00"/>
    <x v="4"/>
    <x v="10"/>
    <s v="Non-Coffee"/>
    <n v="2"/>
    <n v="12"/>
    <x v="1"/>
    <x v="1"/>
    <n v="24"/>
  </r>
  <r>
    <s v="BB0499"/>
    <s v="2026-08-27"/>
    <n v="2026"/>
    <x v="0"/>
    <s v="Thursday"/>
    <s v="15:54:00"/>
    <x v="5"/>
    <x v="7"/>
    <s v="Pastry"/>
    <n v="1"/>
    <n v="8"/>
    <x v="0"/>
    <x v="0"/>
    <n v="8"/>
  </r>
  <r>
    <s v="BB0549"/>
    <s v="2026-08-27"/>
    <n v="2026"/>
    <x v="0"/>
    <s v="Thursday"/>
    <s v="19:10:00"/>
    <x v="7"/>
    <x v="0"/>
    <s v="Coffee"/>
    <n v="1"/>
    <n v="15"/>
    <x v="1"/>
    <x v="0"/>
    <n v="15"/>
  </r>
  <r>
    <s v="BB0213"/>
    <s v="2026-08-27"/>
    <n v="2026"/>
    <x v="0"/>
    <s v="Thursday"/>
    <s v="19:27:00"/>
    <x v="7"/>
    <x v="11"/>
    <s v="Dessert"/>
    <n v="1"/>
    <n v="16"/>
    <x v="0"/>
    <x v="0"/>
    <n v="16"/>
  </r>
  <r>
    <s v="BB0524"/>
    <s v="2026-08-27"/>
    <n v="2026"/>
    <x v="0"/>
    <s v="Thursday"/>
    <s v="19:34:00"/>
    <x v="7"/>
    <x v="6"/>
    <s v="Coffee"/>
    <n v="1"/>
    <n v="7"/>
    <x v="1"/>
    <x v="1"/>
    <n v="7"/>
  </r>
  <r>
    <s v="BB0437"/>
    <s v="2026-08-27"/>
    <n v="2026"/>
    <x v="0"/>
    <s v="Thursday"/>
    <s v="19:35:00"/>
    <x v="7"/>
    <x v="0"/>
    <s v="Coffee"/>
    <n v="1"/>
    <n v="15"/>
    <x v="0"/>
    <x v="1"/>
    <n v="15"/>
  </r>
  <r>
    <s v="BB0080"/>
    <s v="2026-08-28"/>
    <n v="2026"/>
    <x v="0"/>
    <s v="Friday"/>
    <s v="08:03:00"/>
    <x v="0"/>
    <x v="7"/>
    <s v="Pastry"/>
    <n v="3"/>
    <n v="8"/>
    <x v="2"/>
    <x v="1"/>
    <n v="24"/>
  </r>
  <r>
    <s v="BB0300"/>
    <s v="2026-08-28"/>
    <n v="2026"/>
    <x v="0"/>
    <s v="Friday"/>
    <s v="09:22:00"/>
    <x v="1"/>
    <x v="4"/>
    <s v="Coffee"/>
    <n v="2"/>
    <n v="13"/>
    <x v="0"/>
    <x v="1"/>
    <n v="26"/>
  </r>
  <r>
    <s v="BB0149"/>
    <s v="2026-08-28"/>
    <n v="2026"/>
    <x v="0"/>
    <s v="Friday"/>
    <s v="10:52:00"/>
    <x v="8"/>
    <x v="5"/>
    <s v="Coffee"/>
    <n v="2"/>
    <n v="9"/>
    <x v="0"/>
    <x v="1"/>
    <n v="18"/>
  </r>
  <r>
    <s v="BB0032"/>
    <s v="2026-08-28"/>
    <n v="2026"/>
    <x v="0"/>
    <s v="Friday"/>
    <s v="12:39:00"/>
    <x v="9"/>
    <x v="3"/>
    <s v="Pastry"/>
    <n v="1"/>
    <n v="9"/>
    <x v="1"/>
    <x v="0"/>
    <n v="9"/>
  </r>
  <r>
    <s v="BB0333"/>
    <s v="2026-08-28"/>
    <n v="2026"/>
    <x v="0"/>
    <s v="Friday"/>
    <s v="14:25:00"/>
    <x v="4"/>
    <x v="2"/>
    <s v="Non-Coffee"/>
    <n v="1"/>
    <n v="14"/>
    <x v="1"/>
    <x v="1"/>
    <n v="14"/>
  </r>
  <r>
    <s v="BB0271"/>
    <s v="2026-08-28"/>
    <n v="2026"/>
    <x v="0"/>
    <s v="Friday"/>
    <s v="15:45:00"/>
    <x v="5"/>
    <x v="4"/>
    <s v="Coffee"/>
    <n v="1"/>
    <n v="13"/>
    <x v="0"/>
    <x v="1"/>
    <n v="13"/>
  </r>
  <r>
    <s v="BB0217"/>
    <s v="2026-08-28"/>
    <n v="2026"/>
    <x v="0"/>
    <s v="Friday"/>
    <s v="15:55:00"/>
    <x v="5"/>
    <x v="1"/>
    <s v="Coffee"/>
    <n v="1"/>
    <n v="12"/>
    <x v="1"/>
    <x v="0"/>
    <n v="12"/>
  </r>
  <r>
    <s v="BB0328"/>
    <s v="2026-08-28"/>
    <n v="2026"/>
    <x v="0"/>
    <s v="Friday"/>
    <s v="17:27:00"/>
    <x v="10"/>
    <x v="9"/>
    <s v="Coffee"/>
    <n v="1"/>
    <n v="14"/>
    <x v="0"/>
    <x v="1"/>
    <n v="14"/>
  </r>
  <r>
    <s v="BB0269"/>
    <s v="2026-08-28"/>
    <n v="2026"/>
    <x v="0"/>
    <s v="Friday"/>
    <s v="17:41:00"/>
    <x v="10"/>
    <x v="4"/>
    <s v="Coffee"/>
    <n v="1"/>
    <n v="13"/>
    <x v="1"/>
    <x v="1"/>
    <n v="13"/>
  </r>
  <r>
    <s v="BB0134"/>
    <s v="2026-08-28"/>
    <n v="2026"/>
    <x v="0"/>
    <s v="Friday"/>
    <s v="19:06:00"/>
    <x v="7"/>
    <x v="4"/>
    <s v="Coffee"/>
    <n v="2"/>
    <n v="13"/>
    <x v="0"/>
    <x v="0"/>
    <n v="26"/>
  </r>
  <r>
    <s v="BB0128"/>
    <s v="2026-08-29"/>
    <n v="2026"/>
    <x v="0"/>
    <s v="Saturday"/>
    <s v="08:56:00"/>
    <x v="0"/>
    <x v="4"/>
    <s v="Coffee"/>
    <n v="1"/>
    <n v="13"/>
    <x v="2"/>
    <x v="0"/>
    <n v="13"/>
  </r>
  <r>
    <s v="BB0414"/>
    <s v="2026-08-29"/>
    <n v="2026"/>
    <x v="0"/>
    <s v="Saturday"/>
    <s v="09:25:00"/>
    <x v="1"/>
    <x v="4"/>
    <s v="Coffee"/>
    <n v="1"/>
    <n v="13"/>
    <x v="1"/>
    <x v="0"/>
    <n v="13"/>
  </r>
  <r>
    <s v="BB0061"/>
    <s v="2026-08-29"/>
    <n v="2026"/>
    <x v="0"/>
    <s v="Saturday"/>
    <s v="10:27:00"/>
    <x v="8"/>
    <x v="11"/>
    <s v="Dessert"/>
    <n v="1"/>
    <n v="16"/>
    <x v="1"/>
    <x v="1"/>
    <n v="16"/>
  </r>
  <r>
    <s v="BB0498"/>
    <s v="2026-08-29"/>
    <n v="2026"/>
    <x v="0"/>
    <s v="Saturday"/>
    <s v="12:18:00"/>
    <x v="9"/>
    <x v="0"/>
    <s v="Coffee"/>
    <n v="2"/>
    <n v="15"/>
    <x v="1"/>
    <x v="1"/>
    <n v="30"/>
  </r>
  <r>
    <s v="BB0286"/>
    <s v="2026-08-29"/>
    <n v="2026"/>
    <x v="0"/>
    <s v="Saturday"/>
    <s v="13:15:00"/>
    <x v="3"/>
    <x v="5"/>
    <s v="Coffee"/>
    <n v="2"/>
    <n v="9"/>
    <x v="2"/>
    <x v="0"/>
    <n v="18"/>
  </r>
  <r>
    <s v="BB0523"/>
    <s v="2026-08-29"/>
    <n v="2026"/>
    <x v="0"/>
    <s v="Saturday"/>
    <s v="13:26:00"/>
    <x v="3"/>
    <x v="8"/>
    <s v="Dessert"/>
    <n v="1"/>
    <n v="10"/>
    <x v="1"/>
    <x v="1"/>
    <n v="10"/>
  </r>
  <r>
    <s v="BB0282"/>
    <s v="2026-08-29"/>
    <n v="2026"/>
    <x v="0"/>
    <s v="Saturday"/>
    <s v="14:46:00"/>
    <x v="4"/>
    <x v="8"/>
    <s v="Dessert"/>
    <n v="1"/>
    <n v="10"/>
    <x v="0"/>
    <x v="0"/>
    <n v="10"/>
  </r>
  <r>
    <s v="BB0140"/>
    <s v="2026-08-29"/>
    <n v="2026"/>
    <x v="0"/>
    <s v="Saturday"/>
    <s v="16:53:00"/>
    <x v="6"/>
    <x v="1"/>
    <s v="Coffee"/>
    <n v="1"/>
    <n v="12"/>
    <x v="2"/>
    <x v="1"/>
    <n v="12"/>
  </r>
  <r>
    <s v="BB0370"/>
    <s v="2026-08-30"/>
    <n v="2026"/>
    <x v="0"/>
    <s v="Sunday"/>
    <s v="09:35:00"/>
    <x v="1"/>
    <x v="9"/>
    <s v="Coffee"/>
    <n v="1"/>
    <n v="14"/>
    <x v="1"/>
    <x v="0"/>
    <n v="14"/>
  </r>
  <r>
    <s v="BB0148"/>
    <s v="2026-08-30"/>
    <n v="2026"/>
    <x v="0"/>
    <s v="Sunday"/>
    <s v="10:31:00"/>
    <x v="8"/>
    <x v="9"/>
    <s v="Coffee"/>
    <n v="2"/>
    <n v="14"/>
    <x v="1"/>
    <x v="0"/>
    <n v="28"/>
  </r>
  <r>
    <s v="BB0268"/>
    <s v="2026-08-30"/>
    <n v="2026"/>
    <x v="0"/>
    <s v="Sunday"/>
    <s v="10:49:00"/>
    <x v="8"/>
    <x v="5"/>
    <s v="Coffee"/>
    <n v="2"/>
    <n v="9"/>
    <x v="1"/>
    <x v="1"/>
    <n v="18"/>
  </r>
  <r>
    <s v="BB0373"/>
    <s v="2026-08-30"/>
    <n v="2026"/>
    <x v="0"/>
    <s v="Sunday"/>
    <s v="11:01:00"/>
    <x v="2"/>
    <x v="1"/>
    <s v="Coffee"/>
    <n v="1"/>
    <n v="12"/>
    <x v="1"/>
    <x v="1"/>
    <n v="12"/>
  </r>
  <r>
    <s v="BB0279"/>
    <s v="2026-08-30"/>
    <n v="2026"/>
    <x v="0"/>
    <s v="Sunday"/>
    <s v="11:48:00"/>
    <x v="2"/>
    <x v="4"/>
    <s v="Coffee"/>
    <n v="1"/>
    <n v="13"/>
    <x v="0"/>
    <x v="1"/>
    <n v="13"/>
  </r>
  <r>
    <s v="BB0246"/>
    <s v="2026-08-30"/>
    <n v="2026"/>
    <x v="0"/>
    <s v="Sunday"/>
    <s v="12:19:00"/>
    <x v="9"/>
    <x v="8"/>
    <s v="Dessert"/>
    <n v="1"/>
    <n v="10"/>
    <x v="0"/>
    <x v="1"/>
    <n v="10"/>
  </r>
  <r>
    <s v="BB0015"/>
    <s v="2026-08-30"/>
    <n v="2026"/>
    <x v="0"/>
    <s v="Sunday"/>
    <s v="12:32:00"/>
    <x v="9"/>
    <x v="4"/>
    <s v="Coffee"/>
    <n v="1"/>
    <n v="13"/>
    <x v="0"/>
    <x v="0"/>
    <n v="13"/>
  </r>
  <r>
    <s v="BB0178"/>
    <s v="2026-08-30"/>
    <n v="2026"/>
    <x v="0"/>
    <s v="Sunday"/>
    <s v="12:51:00"/>
    <x v="9"/>
    <x v="0"/>
    <s v="Coffee"/>
    <n v="2"/>
    <n v="15"/>
    <x v="1"/>
    <x v="0"/>
    <n v="30"/>
  </r>
  <r>
    <s v="BB0067"/>
    <s v="2026-08-30"/>
    <n v="2026"/>
    <x v="0"/>
    <s v="Sunday"/>
    <s v="13:49:00"/>
    <x v="3"/>
    <x v="1"/>
    <s v="Coffee"/>
    <n v="1"/>
    <n v="12"/>
    <x v="1"/>
    <x v="1"/>
    <n v="12"/>
  </r>
  <r>
    <s v="BB0057"/>
    <s v="2026-08-30"/>
    <n v="2026"/>
    <x v="0"/>
    <s v="Sunday"/>
    <s v="14:13:00"/>
    <x v="4"/>
    <x v="2"/>
    <s v="Non-Coffee"/>
    <n v="1"/>
    <n v="14"/>
    <x v="1"/>
    <x v="0"/>
    <n v="14"/>
  </r>
  <r>
    <s v="BB0447"/>
    <s v="2026-08-30"/>
    <n v="2026"/>
    <x v="0"/>
    <s v="Sunday"/>
    <s v="14:19:00"/>
    <x v="4"/>
    <x v="6"/>
    <s v="Coffee"/>
    <n v="2"/>
    <n v="7"/>
    <x v="1"/>
    <x v="1"/>
    <n v="14"/>
  </r>
  <r>
    <s v="BB0150"/>
    <s v="2026-08-30"/>
    <n v="2026"/>
    <x v="0"/>
    <s v="Sunday"/>
    <s v="16:32:00"/>
    <x v="6"/>
    <x v="8"/>
    <s v="Dessert"/>
    <n v="1"/>
    <n v="10"/>
    <x v="0"/>
    <x v="0"/>
    <n v="10"/>
  </r>
  <r>
    <s v="BB0264"/>
    <s v="2026-08-30"/>
    <n v="2026"/>
    <x v="0"/>
    <s v="Sunday"/>
    <s v="16:41:00"/>
    <x v="6"/>
    <x v="2"/>
    <s v="Non-Coffee"/>
    <n v="1"/>
    <n v="14"/>
    <x v="1"/>
    <x v="1"/>
    <n v="14"/>
  </r>
  <r>
    <s v="BB0191"/>
    <s v="2026-08-30"/>
    <n v="2026"/>
    <x v="0"/>
    <s v="Sunday"/>
    <s v="17:08:00"/>
    <x v="10"/>
    <x v="11"/>
    <s v="Dessert"/>
    <n v="2"/>
    <n v="16"/>
    <x v="0"/>
    <x v="1"/>
    <n v="32"/>
  </r>
  <r>
    <s v="BB0376"/>
    <s v="2026-08-30"/>
    <n v="2026"/>
    <x v="0"/>
    <s v="Sunday"/>
    <s v="17:21:00"/>
    <x v="10"/>
    <x v="10"/>
    <s v="Non-Coffee"/>
    <n v="2"/>
    <n v="12"/>
    <x v="0"/>
    <x v="0"/>
    <n v="24"/>
  </r>
  <r>
    <s v="BB0356"/>
    <s v="2026-08-30"/>
    <n v="2026"/>
    <x v="0"/>
    <s v="Sunday"/>
    <s v="17:45:00"/>
    <x v="10"/>
    <x v="9"/>
    <s v="Coffee"/>
    <n v="2"/>
    <n v="14"/>
    <x v="0"/>
    <x v="0"/>
    <n v="28"/>
  </r>
  <r>
    <s v="BB0125"/>
    <s v="2026-08-30"/>
    <n v="2026"/>
    <x v="0"/>
    <s v="Sunday"/>
    <s v="18:37:00"/>
    <x v="11"/>
    <x v="8"/>
    <s v="Dessert"/>
    <n v="1"/>
    <n v="10"/>
    <x v="1"/>
    <x v="0"/>
    <n v="10"/>
  </r>
  <r>
    <s v="BB0222"/>
    <s v="2026-08-30"/>
    <n v="2026"/>
    <x v="0"/>
    <s v="Sunday"/>
    <s v="18:57:00"/>
    <x v="11"/>
    <x v="6"/>
    <s v="Coffee"/>
    <n v="1"/>
    <n v="7"/>
    <x v="2"/>
    <x v="1"/>
    <n v="7"/>
  </r>
  <r>
    <s v="BB0239"/>
    <s v="2026-08-31"/>
    <n v="2026"/>
    <x v="0"/>
    <s v="Monday"/>
    <s v="11:05:00"/>
    <x v="2"/>
    <x v="2"/>
    <s v="Non-Coffee"/>
    <n v="1"/>
    <n v="14"/>
    <x v="1"/>
    <x v="1"/>
    <n v="14"/>
  </r>
  <r>
    <s v="BB0075"/>
    <s v="2026-08-31"/>
    <n v="2026"/>
    <x v="0"/>
    <s v="Monday"/>
    <s v="11:13:00"/>
    <x v="2"/>
    <x v="2"/>
    <s v="Non-Coffee"/>
    <n v="1"/>
    <n v="14"/>
    <x v="1"/>
    <x v="1"/>
    <n v="14"/>
  </r>
  <r>
    <s v="BB0324"/>
    <s v="2026-08-31"/>
    <n v="2026"/>
    <x v="0"/>
    <s v="Monday"/>
    <s v="11:19:00"/>
    <x v="2"/>
    <x v="0"/>
    <s v="Coffee"/>
    <n v="1"/>
    <n v="15"/>
    <x v="1"/>
    <x v="0"/>
    <n v="15"/>
  </r>
  <r>
    <s v="BB0242"/>
    <s v="2026-08-31"/>
    <n v="2026"/>
    <x v="0"/>
    <s v="Monday"/>
    <s v="11:26:00"/>
    <x v="2"/>
    <x v="9"/>
    <s v="Coffee"/>
    <n v="1"/>
    <n v="14"/>
    <x v="0"/>
    <x v="1"/>
    <n v="14"/>
  </r>
  <r>
    <s v="BB0385"/>
    <s v="2026-08-31"/>
    <n v="2026"/>
    <x v="0"/>
    <s v="Monday"/>
    <s v="12:01:00"/>
    <x v="9"/>
    <x v="1"/>
    <s v="Coffee"/>
    <n v="2"/>
    <n v="12"/>
    <x v="2"/>
    <x v="1"/>
    <n v="24"/>
  </r>
  <r>
    <s v="BB0025"/>
    <s v="2026-08-31"/>
    <n v="2026"/>
    <x v="0"/>
    <s v="Monday"/>
    <s v="12:57:00"/>
    <x v="9"/>
    <x v="5"/>
    <s v="Coffee"/>
    <n v="1"/>
    <n v="9"/>
    <x v="1"/>
    <x v="0"/>
    <n v="9"/>
  </r>
  <r>
    <s v="BB0454"/>
    <s v="2026-08-31"/>
    <n v="2026"/>
    <x v="0"/>
    <s v="Monday"/>
    <s v="15:58:00"/>
    <x v="5"/>
    <x v="0"/>
    <s v="Coffee"/>
    <n v="1"/>
    <n v="15"/>
    <x v="1"/>
    <x v="0"/>
    <n v="15"/>
  </r>
  <r>
    <s v="BB0283"/>
    <s v="2026-08-31"/>
    <n v="2026"/>
    <x v="0"/>
    <s v="Monday"/>
    <s v="17:08:00"/>
    <x v="10"/>
    <x v="4"/>
    <s v="Coffee"/>
    <n v="1"/>
    <n v="13"/>
    <x v="0"/>
    <x v="1"/>
    <n v="13"/>
  </r>
  <r>
    <s v="BB0497"/>
    <s v="2026-08-31"/>
    <n v="2026"/>
    <x v="0"/>
    <s v="Monday"/>
    <s v="17:12:00"/>
    <x v="10"/>
    <x v="9"/>
    <s v="Coffee"/>
    <n v="4"/>
    <n v="14"/>
    <x v="1"/>
    <x v="1"/>
    <n v="56"/>
  </r>
  <r>
    <s v="BB0317"/>
    <s v="2026-08-31"/>
    <n v="2026"/>
    <x v="0"/>
    <s v="Monday"/>
    <s v="17:31:00"/>
    <x v="10"/>
    <x v="0"/>
    <s v="Coffee"/>
    <n v="1"/>
    <n v="15"/>
    <x v="2"/>
    <x v="1"/>
    <n v="15"/>
  </r>
  <r>
    <s v="BB0500"/>
    <s v="2026-08-31"/>
    <n v="2026"/>
    <x v="0"/>
    <s v="Monday"/>
    <s v="17:35:00"/>
    <x v="10"/>
    <x v="11"/>
    <s v="Dessert"/>
    <n v="3"/>
    <n v="16"/>
    <x v="1"/>
    <x v="0"/>
    <n v="48"/>
  </r>
  <r>
    <s v="BB0046"/>
    <s v="2026-08-31"/>
    <n v="2026"/>
    <x v="0"/>
    <s v="Monday"/>
    <s v="17:36:00"/>
    <x v="10"/>
    <x v="10"/>
    <s v="Non-Coffee"/>
    <n v="1"/>
    <n v="12"/>
    <x v="2"/>
    <x v="0"/>
    <n v="12"/>
  </r>
  <r>
    <s v="BB0369"/>
    <s v="2026-08-31"/>
    <n v="2026"/>
    <x v="0"/>
    <s v="Monday"/>
    <s v="18:10:00"/>
    <x v="11"/>
    <x v="11"/>
    <s v="Dessert"/>
    <n v="1"/>
    <n v="16"/>
    <x v="0"/>
    <x v="1"/>
    <n v="16"/>
  </r>
  <r>
    <s v="BB0480"/>
    <s v="2026-08-31"/>
    <n v="2026"/>
    <x v="0"/>
    <s v="Monday"/>
    <s v="18:56:00"/>
    <x v="11"/>
    <x v="3"/>
    <s v="Pastry"/>
    <n v="1"/>
    <n v="9"/>
    <x v="0"/>
    <x v="1"/>
    <n v="9"/>
  </r>
  <r>
    <s v="BB0440"/>
    <s v="2026-09-01"/>
    <n v="2026"/>
    <x v="1"/>
    <s v="Tuesday"/>
    <s v="09:02:00"/>
    <x v="1"/>
    <x v="5"/>
    <s v="Coffee"/>
    <n v="1"/>
    <n v="9"/>
    <x v="2"/>
    <x v="1"/>
    <n v="9"/>
  </r>
  <r>
    <s v="BB0403"/>
    <s v="2026-09-01"/>
    <n v="2026"/>
    <x v="1"/>
    <s v="Tuesday"/>
    <s v="09:10:00"/>
    <x v="1"/>
    <x v="4"/>
    <s v="Coffee"/>
    <n v="1"/>
    <n v="13"/>
    <x v="1"/>
    <x v="1"/>
    <n v="13"/>
  </r>
  <r>
    <s v="BB0483"/>
    <s v="2026-09-01"/>
    <n v="2026"/>
    <x v="1"/>
    <s v="Tuesday"/>
    <s v="10:03:00"/>
    <x v="8"/>
    <x v="1"/>
    <s v="Coffee"/>
    <n v="2"/>
    <n v="12"/>
    <x v="0"/>
    <x v="0"/>
    <n v="24"/>
  </r>
  <r>
    <s v="BB0441"/>
    <s v="2026-09-01"/>
    <n v="2026"/>
    <x v="1"/>
    <s v="Tuesday"/>
    <s v="10:15:00"/>
    <x v="8"/>
    <x v="4"/>
    <s v="Coffee"/>
    <n v="1"/>
    <n v="13"/>
    <x v="0"/>
    <x v="1"/>
    <n v="13"/>
  </r>
  <r>
    <s v="BB0215"/>
    <s v="2026-09-01"/>
    <n v="2026"/>
    <x v="1"/>
    <s v="Tuesday"/>
    <s v="10:18:00"/>
    <x v="8"/>
    <x v="2"/>
    <s v="Non-Coffee"/>
    <n v="2"/>
    <n v="14"/>
    <x v="1"/>
    <x v="1"/>
    <n v="28"/>
  </r>
  <r>
    <s v="BB0103"/>
    <s v="2026-09-01"/>
    <n v="2026"/>
    <x v="1"/>
    <s v="Tuesday"/>
    <s v="10:47:00"/>
    <x v="8"/>
    <x v="1"/>
    <s v="Coffee"/>
    <n v="1"/>
    <n v="12"/>
    <x v="0"/>
    <x v="1"/>
    <n v="12"/>
  </r>
  <r>
    <s v="BB0251"/>
    <s v="2026-09-01"/>
    <n v="2026"/>
    <x v="1"/>
    <s v="Tuesday"/>
    <s v="10:55:00"/>
    <x v="8"/>
    <x v="6"/>
    <s v="Coffee"/>
    <n v="1"/>
    <n v="7"/>
    <x v="0"/>
    <x v="1"/>
    <n v="7"/>
  </r>
  <r>
    <s v="BB0504"/>
    <s v="2026-09-01"/>
    <n v="2026"/>
    <x v="1"/>
    <s v="Tuesday"/>
    <s v="13:34:00"/>
    <x v="3"/>
    <x v="6"/>
    <s v="Coffee"/>
    <n v="2"/>
    <n v="7"/>
    <x v="1"/>
    <x v="0"/>
    <n v="14"/>
  </r>
  <r>
    <s v="BB0038"/>
    <s v="2026-09-01"/>
    <n v="2026"/>
    <x v="1"/>
    <s v="Tuesday"/>
    <s v="14:17:00"/>
    <x v="4"/>
    <x v="3"/>
    <s v="Pastry"/>
    <n v="1"/>
    <n v="9"/>
    <x v="1"/>
    <x v="1"/>
    <n v="9"/>
  </r>
  <r>
    <s v="BB0434"/>
    <s v="2026-09-01"/>
    <n v="2026"/>
    <x v="1"/>
    <s v="Tuesday"/>
    <s v="15:18:00"/>
    <x v="5"/>
    <x v="7"/>
    <s v="Pastry"/>
    <n v="3"/>
    <n v="8"/>
    <x v="1"/>
    <x v="1"/>
    <n v="24"/>
  </r>
  <r>
    <s v="BB0383"/>
    <s v="2026-09-01"/>
    <n v="2026"/>
    <x v="1"/>
    <s v="Tuesday"/>
    <s v="16:48:00"/>
    <x v="6"/>
    <x v="3"/>
    <s v="Pastry"/>
    <n v="1"/>
    <n v="9"/>
    <x v="0"/>
    <x v="0"/>
    <n v="9"/>
  </r>
  <r>
    <s v="BB0262"/>
    <s v="2026-09-01"/>
    <n v="2026"/>
    <x v="1"/>
    <s v="Tuesday"/>
    <s v="17:15:00"/>
    <x v="10"/>
    <x v="8"/>
    <s v="Dessert"/>
    <n v="3"/>
    <n v="10"/>
    <x v="1"/>
    <x v="1"/>
    <n v="30"/>
  </r>
  <r>
    <s v="BB0433"/>
    <s v="2026-09-02"/>
    <n v="2026"/>
    <x v="1"/>
    <s v="Wednesday"/>
    <s v="09:30:00"/>
    <x v="1"/>
    <x v="5"/>
    <s v="Coffee"/>
    <n v="1"/>
    <n v="9"/>
    <x v="0"/>
    <x v="0"/>
    <n v="9"/>
  </r>
  <r>
    <s v="BB0026"/>
    <s v="2026-09-02"/>
    <n v="2026"/>
    <x v="1"/>
    <s v="Wednesday"/>
    <s v="09:32:00"/>
    <x v="1"/>
    <x v="7"/>
    <s v="Pastry"/>
    <n v="1"/>
    <n v="8"/>
    <x v="2"/>
    <x v="0"/>
    <n v="8"/>
  </r>
  <r>
    <s v="BB0132"/>
    <s v="2026-09-02"/>
    <n v="2026"/>
    <x v="1"/>
    <s v="Wednesday"/>
    <s v="10:00:00"/>
    <x v="8"/>
    <x v="1"/>
    <s v="Coffee"/>
    <n v="1"/>
    <n v="12"/>
    <x v="1"/>
    <x v="0"/>
    <n v="12"/>
  </r>
  <r>
    <s v="BB0094"/>
    <s v="2026-09-02"/>
    <n v="2026"/>
    <x v="1"/>
    <s v="Wednesday"/>
    <s v="10:30:00"/>
    <x v="8"/>
    <x v="9"/>
    <s v="Coffee"/>
    <n v="1"/>
    <n v="14"/>
    <x v="1"/>
    <x v="0"/>
    <n v="14"/>
  </r>
  <r>
    <s v="BB0214"/>
    <s v="2026-09-02"/>
    <n v="2026"/>
    <x v="1"/>
    <s v="Wednesday"/>
    <s v="12:23:00"/>
    <x v="9"/>
    <x v="2"/>
    <s v="Non-Coffee"/>
    <n v="1"/>
    <n v="14"/>
    <x v="1"/>
    <x v="0"/>
    <n v="14"/>
  </r>
  <r>
    <s v="BB0501"/>
    <s v="2026-09-02"/>
    <n v="2026"/>
    <x v="1"/>
    <s v="Wednesday"/>
    <s v="12:56:00"/>
    <x v="9"/>
    <x v="4"/>
    <s v="Coffee"/>
    <n v="1"/>
    <n v="13"/>
    <x v="0"/>
    <x v="1"/>
    <n v="13"/>
  </r>
  <r>
    <s v="BB0005"/>
    <s v="2026-09-02"/>
    <n v="2026"/>
    <x v="1"/>
    <s v="Wednesday"/>
    <s v="12:57:00"/>
    <x v="9"/>
    <x v="8"/>
    <s v="Dessert"/>
    <n v="2"/>
    <n v="10"/>
    <x v="0"/>
    <x v="0"/>
    <n v="20"/>
  </r>
  <r>
    <s v="BB0184"/>
    <s v="2026-09-02"/>
    <n v="2026"/>
    <x v="1"/>
    <s v="Wednesday"/>
    <s v="13:13:00"/>
    <x v="3"/>
    <x v="1"/>
    <s v="Coffee"/>
    <n v="2"/>
    <n v="12"/>
    <x v="1"/>
    <x v="1"/>
    <n v="24"/>
  </r>
  <r>
    <s v="BB0207"/>
    <s v="2026-09-02"/>
    <n v="2026"/>
    <x v="1"/>
    <s v="Wednesday"/>
    <s v="13:19:00"/>
    <x v="3"/>
    <x v="2"/>
    <s v="Non-Coffee"/>
    <n v="1"/>
    <n v="14"/>
    <x v="2"/>
    <x v="0"/>
    <n v="14"/>
  </r>
  <r>
    <s v="BB0165"/>
    <s v="2026-09-02"/>
    <n v="2026"/>
    <x v="1"/>
    <s v="Wednesday"/>
    <s v="13:50:00"/>
    <x v="3"/>
    <x v="6"/>
    <s v="Coffee"/>
    <n v="1"/>
    <n v="7"/>
    <x v="1"/>
    <x v="1"/>
    <n v="7"/>
  </r>
  <r>
    <s v="BB0124"/>
    <s v="2026-09-02"/>
    <n v="2026"/>
    <x v="1"/>
    <s v="Wednesday"/>
    <s v="15:38:00"/>
    <x v="5"/>
    <x v="10"/>
    <s v="Non-Coffee"/>
    <n v="1"/>
    <n v="12"/>
    <x v="0"/>
    <x v="1"/>
    <n v="12"/>
  </r>
  <r>
    <s v="BB0194"/>
    <s v="2026-09-02"/>
    <n v="2026"/>
    <x v="1"/>
    <s v="Wednesday"/>
    <s v="17:06:00"/>
    <x v="10"/>
    <x v="7"/>
    <s v="Pastry"/>
    <n v="2"/>
    <n v="8"/>
    <x v="1"/>
    <x v="0"/>
    <n v="16"/>
  </r>
  <r>
    <s v="BB0221"/>
    <s v="2026-09-02"/>
    <n v="2026"/>
    <x v="1"/>
    <s v="Wednesday"/>
    <s v="17:45:00"/>
    <x v="10"/>
    <x v="6"/>
    <s v="Coffee"/>
    <n v="1"/>
    <n v="7"/>
    <x v="2"/>
    <x v="1"/>
    <n v="7"/>
  </r>
  <r>
    <s v="BB0395"/>
    <s v="2026-09-02"/>
    <n v="2026"/>
    <x v="1"/>
    <s v="Wednesday"/>
    <s v="17:49:00"/>
    <x v="10"/>
    <x v="7"/>
    <s v="Pastry"/>
    <n v="1"/>
    <n v="8"/>
    <x v="1"/>
    <x v="0"/>
    <n v="8"/>
  </r>
  <r>
    <s v="BB0088"/>
    <s v="2026-09-02"/>
    <n v="2026"/>
    <x v="1"/>
    <s v="Wednesday"/>
    <s v="17:51:00"/>
    <x v="10"/>
    <x v="9"/>
    <s v="Coffee"/>
    <n v="2"/>
    <n v="14"/>
    <x v="0"/>
    <x v="0"/>
    <n v="28"/>
  </r>
  <r>
    <s v="BB0548"/>
    <s v="2026-09-02"/>
    <n v="2026"/>
    <x v="1"/>
    <s v="Wednesday"/>
    <s v="18:45:00"/>
    <x v="11"/>
    <x v="3"/>
    <s v="Pastry"/>
    <n v="1"/>
    <n v="9"/>
    <x v="1"/>
    <x v="1"/>
    <n v="9"/>
  </r>
  <r>
    <s v="BB0076"/>
    <s v="2026-09-02"/>
    <n v="2026"/>
    <x v="1"/>
    <s v="Wednesday"/>
    <s v="19:00:00"/>
    <x v="7"/>
    <x v="7"/>
    <s v="Pastry"/>
    <n v="1"/>
    <n v="8"/>
    <x v="1"/>
    <x v="1"/>
    <n v="8"/>
  </r>
  <r>
    <s v="BB0311"/>
    <s v="2026-09-02"/>
    <n v="2026"/>
    <x v="1"/>
    <s v="Wednesday"/>
    <s v="19:42:00"/>
    <x v="7"/>
    <x v="5"/>
    <s v="Coffee"/>
    <n v="1"/>
    <n v="9"/>
    <x v="2"/>
    <x v="1"/>
    <n v="9"/>
  </r>
  <r>
    <s v="BB0023"/>
    <s v="2026-09-03"/>
    <n v="2026"/>
    <x v="1"/>
    <s v="Thursday"/>
    <s v="08:32:00"/>
    <x v="0"/>
    <x v="1"/>
    <s v="Coffee"/>
    <n v="1"/>
    <n v="12"/>
    <x v="1"/>
    <x v="0"/>
    <n v="12"/>
  </r>
  <r>
    <s v="BB0039"/>
    <s v="2026-09-03"/>
    <n v="2026"/>
    <x v="1"/>
    <s v="Thursday"/>
    <s v="08:52:00"/>
    <x v="0"/>
    <x v="11"/>
    <s v="Dessert"/>
    <n v="1"/>
    <n v="16"/>
    <x v="2"/>
    <x v="1"/>
    <n v="16"/>
  </r>
  <r>
    <s v="BB0171"/>
    <s v="2026-09-03"/>
    <n v="2026"/>
    <x v="1"/>
    <s v="Thursday"/>
    <s v="11:01:00"/>
    <x v="2"/>
    <x v="5"/>
    <s v="Coffee"/>
    <n v="1"/>
    <n v="9"/>
    <x v="0"/>
    <x v="1"/>
    <n v="9"/>
  </r>
  <r>
    <s v="BB0412"/>
    <s v="2026-09-03"/>
    <n v="2026"/>
    <x v="1"/>
    <s v="Thursday"/>
    <s v="11:52:00"/>
    <x v="2"/>
    <x v="7"/>
    <s v="Pastry"/>
    <n v="1"/>
    <n v="8"/>
    <x v="0"/>
    <x v="1"/>
    <n v="8"/>
  </r>
  <r>
    <s v="BB0304"/>
    <s v="2026-09-03"/>
    <n v="2026"/>
    <x v="1"/>
    <s v="Thursday"/>
    <s v="12:40:00"/>
    <x v="9"/>
    <x v="11"/>
    <s v="Dessert"/>
    <n v="1"/>
    <n v="16"/>
    <x v="2"/>
    <x v="1"/>
    <n v="16"/>
  </r>
  <r>
    <s v="BB0122"/>
    <s v="2026-09-03"/>
    <n v="2026"/>
    <x v="1"/>
    <s v="Thursday"/>
    <s v="13:41:00"/>
    <x v="3"/>
    <x v="9"/>
    <s v="Coffee"/>
    <n v="2"/>
    <n v="14"/>
    <x v="1"/>
    <x v="1"/>
    <n v="28"/>
  </r>
  <r>
    <s v="BB0506"/>
    <s v="2026-09-03"/>
    <n v="2026"/>
    <x v="1"/>
    <s v="Thursday"/>
    <s v="15:27:00"/>
    <x v="5"/>
    <x v="10"/>
    <s v="Non-Coffee"/>
    <n v="1"/>
    <n v="12"/>
    <x v="1"/>
    <x v="1"/>
    <n v="12"/>
  </r>
  <r>
    <s v="BB0202"/>
    <s v="2026-09-03"/>
    <n v="2026"/>
    <x v="1"/>
    <s v="Thursday"/>
    <s v="15:43:00"/>
    <x v="5"/>
    <x v="4"/>
    <s v="Coffee"/>
    <n v="1"/>
    <n v="13"/>
    <x v="2"/>
    <x v="0"/>
    <n v="13"/>
  </r>
  <r>
    <s v="BB0468"/>
    <s v="2026-09-03"/>
    <n v="2026"/>
    <x v="1"/>
    <s v="Thursday"/>
    <s v="17:50:00"/>
    <x v="10"/>
    <x v="3"/>
    <s v="Pastry"/>
    <n v="2"/>
    <n v="9"/>
    <x v="1"/>
    <x v="0"/>
    <n v="18"/>
  </r>
  <r>
    <s v="BB0055"/>
    <s v="2026-09-03"/>
    <n v="2026"/>
    <x v="1"/>
    <s v="Thursday"/>
    <s v="18:02:00"/>
    <x v="11"/>
    <x v="5"/>
    <s v="Coffee"/>
    <n v="1"/>
    <n v="9"/>
    <x v="2"/>
    <x v="0"/>
    <n v="9"/>
  </r>
  <r>
    <s v="BB0130"/>
    <s v="2026-09-03"/>
    <n v="2026"/>
    <x v="1"/>
    <s v="Thursday"/>
    <s v="19:10:00"/>
    <x v="7"/>
    <x v="0"/>
    <s v="Coffee"/>
    <n v="3"/>
    <n v="15"/>
    <x v="1"/>
    <x v="0"/>
    <n v="45"/>
  </r>
  <r>
    <s v="BB0344"/>
    <s v="2026-09-04"/>
    <n v="2026"/>
    <x v="1"/>
    <s v="Friday"/>
    <s v="08:13:00"/>
    <x v="0"/>
    <x v="2"/>
    <s v="Non-Coffee"/>
    <n v="1"/>
    <n v="14"/>
    <x v="0"/>
    <x v="1"/>
    <n v="14"/>
  </r>
  <r>
    <s v="BB0218"/>
    <s v="2026-09-04"/>
    <n v="2026"/>
    <x v="1"/>
    <s v="Friday"/>
    <s v="09:56:00"/>
    <x v="1"/>
    <x v="1"/>
    <s v="Coffee"/>
    <n v="1"/>
    <n v="12"/>
    <x v="1"/>
    <x v="0"/>
    <n v="12"/>
  </r>
  <r>
    <s v="BB0252"/>
    <s v="2026-09-04"/>
    <n v="2026"/>
    <x v="1"/>
    <s v="Friday"/>
    <s v="09:58:00"/>
    <x v="1"/>
    <x v="5"/>
    <s v="Coffee"/>
    <n v="1"/>
    <n v="9"/>
    <x v="0"/>
    <x v="0"/>
    <n v="9"/>
  </r>
  <r>
    <s v="BB0409"/>
    <s v="2026-09-04"/>
    <n v="2026"/>
    <x v="1"/>
    <s v="Friday"/>
    <s v="10:42:00"/>
    <x v="8"/>
    <x v="4"/>
    <s v="Coffee"/>
    <n v="1"/>
    <n v="13"/>
    <x v="0"/>
    <x v="1"/>
    <n v="13"/>
  </r>
  <r>
    <s v="BB0366"/>
    <s v="2026-09-04"/>
    <n v="2026"/>
    <x v="1"/>
    <s v="Friday"/>
    <s v="11:56:00"/>
    <x v="2"/>
    <x v="6"/>
    <s v="Coffee"/>
    <n v="1"/>
    <n v="7"/>
    <x v="1"/>
    <x v="1"/>
    <n v="7"/>
  </r>
  <r>
    <s v="BB0435"/>
    <s v="2026-09-04"/>
    <n v="2026"/>
    <x v="1"/>
    <s v="Friday"/>
    <s v="14:50:00"/>
    <x v="4"/>
    <x v="1"/>
    <s v="Coffee"/>
    <n v="1"/>
    <n v="12"/>
    <x v="1"/>
    <x v="0"/>
    <n v="12"/>
  </r>
  <r>
    <s v="BB0182"/>
    <s v="2026-09-04"/>
    <n v="2026"/>
    <x v="1"/>
    <s v="Friday"/>
    <s v="15:49:00"/>
    <x v="5"/>
    <x v="7"/>
    <s v="Pastry"/>
    <n v="1"/>
    <n v="8"/>
    <x v="1"/>
    <x v="1"/>
    <n v="8"/>
  </r>
  <r>
    <s v="BB0354"/>
    <s v="2026-09-04"/>
    <n v="2026"/>
    <x v="1"/>
    <s v="Friday"/>
    <s v="15:49:00"/>
    <x v="5"/>
    <x v="1"/>
    <s v="Coffee"/>
    <n v="2"/>
    <n v="12"/>
    <x v="1"/>
    <x v="0"/>
    <n v="24"/>
  </r>
  <r>
    <s v="BB0361"/>
    <s v="2026-09-04"/>
    <n v="2026"/>
    <x v="1"/>
    <s v="Friday"/>
    <s v="16:55:00"/>
    <x v="6"/>
    <x v="9"/>
    <s v="Coffee"/>
    <n v="2"/>
    <n v="14"/>
    <x v="0"/>
    <x v="0"/>
    <n v="28"/>
  </r>
  <r>
    <s v="BB0316"/>
    <s v="2026-09-04"/>
    <n v="2026"/>
    <x v="1"/>
    <s v="Friday"/>
    <s v="17:31:00"/>
    <x v="10"/>
    <x v="9"/>
    <s v="Coffee"/>
    <n v="1"/>
    <n v="14"/>
    <x v="1"/>
    <x v="1"/>
    <n v="14"/>
  </r>
  <r>
    <s v="BB0486"/>
    <s v="2026-09-04"/>
    <n v="2026"/>
    <x v="1"/>
    <s v="Friday"/>
    <s v="17:35:00"/>
    <x v="10"/>
    <x v="6"/>
    <s v="Coffee"/>
    <n v="2"/>
    <n v="7"/>
    <x v="1"/>
    <x v="0"/>
    <n v="14"/>
  </r>
  <r>
    <s v="BB0331"/>
    <s v="2026-09-04"/>
    <n v="2026"/>
    <x v="1"/>
    <s v="Friday"/>
    <s v="19:25:00"/>
    <x v="7"/>
    <x v="5"/>
    <s v="Coffee"/>
    <n v="1"/>
    <n v="9"/>
    <x v="2"/>
    <x v="0"/>
    <n v="9"/>
  </r>
  <r>
    <s v="BB0277"/>
    <s v="2026-09-05"/>
    <n v="2026"/>
    <x v="1"/>
    <s v="Saturday"/>
    <s v="08:58:00"/>
    <x v="0"/>
    <x v="1"/>
    <s v="Coffee"/>
    <n v="4"/>
    <n v="12"/>
    <x v="0"/>
    <x v="0"/>
    <n v="48"/>
  </r>
  <r>
    <s v="BB0044"/>
    <s v="2026-09-05"/>
    <n v="2026"/>
    <x v="1"/>
    <s v="Saturday"/>
    <s v="10:47:00"/>
    <x v="8"/>
    <x v="4"/>
    <s v="Coffee"/>
    <n v="2"/>
    <n v="13"/>
    <x v="1"/>
    <x v="1"/>
    <n v="26"/>
  </r>
  <r>
    <s v="BB0272"/>
    <s v="2026-09-05"/>
    <n v="2026"/>
    <x v="1"/>
    <s v="Saturday"/>
    <s v="13:31:00"/>
    <x v="3"/>
    <x v="0"/>
    <s v="Coffee"/>
    <n v="2"/>
    <n v="15"/>
    <x v="2"/>
    <x v="0"/>
    <n v="30"/>
  </r>
  <r>
    <s v="BB0068"/>
    <s v="2026-09-05"/>
    <n v="2026"/>
    <x v="1"/>
    <s v="Saturday"/>
    <s v="14:07:00"/>
    <x v="4"/>
    <x v="1"/>
    <s v="Coffee"/>
    <n v="4"/>
    <n v="12"/>
    <x v="1"/>
    <x v="0"/>
    <n v="48"/>
  </r>
  <r>
    <s v="BB0315"/>
    <s v="2026-09-05"/>
    <n v="2026"/>
    <x v="1"/>
    <s v="Saturday"/>
    <s v="14:13:00"/>
    <x v="4"/>
    <x v="9"/>
    <s v="Coffee"/>
    <n v="1"/>
    <n v="14"/>
    <x v="1"/>
    <x v="0"/>
    <n v="14"/>
  </r>
  <r>
    <s v="BB0231"/>
    <s v="2026-09-05"/>
    <n v="2026"/>
    <x v="1"/>
    <s v="Saturday"/>
    <s v="15:35:00"/>
    <x v="5"/>
    <x v="11"/>
    <s v="Dessert"/>
    <n v="1"/>
    <n v="16"/>
    <x v="1"/>
    <x v="1"/>
    <n v="16"/>
  </r>
  <r>
    <s v="BB0293"/>
    <s v="2026-09-05"/>
    <n v="2026"/>
    <x v="1"/>
    <s v="Saturday"/>
    <s v="16:22:00"/>
    <x v="6"/>
    <x v="8"/>
    <s v="Dessert"/>
    <n v="3"/>
    <n v="10"/>
    <x v="2"/>
    <x v="0"/>
    <n v="30"/>
  </r>
  <r>
    <s v="BB0050"/>
    <s v="2026-09-05"/>
    <n v="2026"/>
    <x v="1"/>
    <s v="Saturday"/>
    <s v="17:46:00"/>
    <x v="10"/>
    <x v="7"/>
    <s v="Pastry"/>
    <n v="2"/>
    <n v="8"/>
    <x v="0"/>
    <x v="1"/>
    <n v="16"/>
  </r>
  <r>
    <s v="BB0160"/>
    <s v="2026-09-05"/>
    <n v="2026"/>
    <x v="1"/>
    <s v="Saturday"/>
    <s v="18:15:00"/>
    <x v="11"/>
    <x v="11"/>
    <s v="Dessert"/>
    <n v="1"/>
    <n v="16"/>
    <x v="1"/>
    <x v="1"/>
    <n v="16"/>
  </r>
  <r>
    <s v="BB0012"/>
    <s v="2026-09-05"/>
    <n v="2026"/>
    <x v="1"/>
    <s v="Saturday"/>
    <s v="19:56:00"/>
    <x v="7"/>
    <x v="5"/>
    <s v="Coffee"/>
    <n v="2"/>
    <n v="9"/>
    <x v="2"/>
    <x v="1"/>
    <n v="18"/>
  </r>
  <r>
    <s v="BB0309"/>
    <s v="2026-09-06"/>
    <n v="2026"/>
    <x v="1"/>
    <s v="Sunday"/>
    <s v="08:23:00"/>
    <x v="0"/>
    <x v="4"/>
    <s v="Coffee"/>
    <n v="1"/>
    <n v="13"/>
    <x v="1"/>
    <x v="1"/>
    <n v="13"/>
  </r>
  <r>
    <s v="BB0408"/>
    <s v="2026-09-06"/>
    <n v="2026"/>
    <x v="1"/>
    <s v="Sunday"/>
    <s v="09:49:00"/>
    <x v="1"/>
    <x v="3"/>
    <s v="Pastry"/>
    <n v="1"/>
    <n v="9"/>
    <x v="0"/>
    <x v="1"/>
    <n v="9"/>
  </r>
  <r>
    <s v="BB0120"/>
    <s v="2026-09-06"/>
    <n v="2026"/>
    <x v="1"/>
    <s v="Sunday"/>
    <s v="09:53:00"/>
    <x v="1"/>
    <x v="5"/>
    <s v="Coffee"/>
    <n v="1"/>
    <n v="9"/>
    <x v="1"/>
    <x v="0"/>
    <n v="9"/>
  </r>
  <r>
    <s v="BB0119"/>
    <s v="2026-09-06"/>
    <n v="2026"/>
    <x v="1"/>
    <s v="Sunday"/>
    <s v="10:36:00"/>
    <x v="8"/>
    <x v="11"/>
    <s v="Dessert"/>
    <n v="1"/>
    <n v="16"/>
    <x v="1"/>
    <x v="0"/>
    <n v="16"/>
  </r>
  <r>
    <s v="BB0229"/>
    <s v="2026-09-06"/>
    <n v="2026"/>
    <x v="1"/>
    <s v="Sunday"/>
    <s v="11:58:00"/>
    <x v="2"/>
    <x v="5"/>
    <s v="Coffee"/>
    <n v="2"/>
    <n v="9"/>
    <x v="1"/>
    <x v="1"/>
    <n v="18"/>
  </r>
  <r>
    <s v="BB0143"/>
    <s v="2026-09-06"/>
    <n v="2026"/>
    <x v="1"/>
    <s v="Sunday"/>
    <s v="12:53:00"/>
    <x v="9"/>
    <x v="8"/>
    <s v="Dessert"/>
    <n v="2"/>
    <n v="10"/>
    <x v="1"/>
    <x v="0"/>
    <n v="20"/>
  </r>
  <r>
    <s v="BB0070"/>
    <s v="2026-09-06"/>
    <n v="2026"/>
    <x v="1"/>
    <s v="Sunday"/>
    <s v="13:57:00"/>
    <x v="3"/>
    <x v="11"/>
    <s v="Dessert"/>
    <n v="3"/>
    <n v="16"/>
    <x v="2"/>
    <x v="1"/>
    <n v="48"/>
  </r>
  <r>
    <s v="BB0295"/>
    <s v="2026-09-06"/>
    <n v="2026"/>
    <x v="1"/>
    <s v="Sunday"/>
    <s v="14:20:00"/>
    <x v="4"/>
    <x v="1"/>
    <s v="Coffee"/>
    <n v="3"/>
    <n v="12"/>
    <x v="1"/>
    <x v="0"/>
    <n v="36"/>
  </r>
  <r>
    <s v="BB0335"/>
    <s v="2026-09-06"/>
    <n v="2026"/>
    <x v="1"/>
    <s v="Sunday"/>
    <s v="14:50:00"/>
    <x v="4"/>
    <x v="11"/>
    <s v="Dessert"/>
    <n v="1"/>
    <n v="16"/>
    <x v="1"/>
    <x v="1"/>
    <n v="16"/>
  </r>
  <r>
    <s v="BB0129"/>
    <s v="2026-09-06"/>
    <n v="2026"/>
    <x v="1"/>
    <s v="Sunday"/>
    <s v="15:36:00"/>
    <x v="5"/>
    <x v="7"/>
    <s v="Pastry"/>
    <n v="1"/>
    <n v="8"/>
    <x v="1"/>
    <x v="0"/>
    <n v="8"/>
  </r>
  <r>
    <s v="BB0177"/>
    <s v="2026-09-06"/>
    <n v="2026"/>
    <x v="1"/>
    <s v="Sunday"/>
    <s v="16:33:00"/>
    <x v="6"/>
    <x v="10"/>
    <s v="Non-Coffee"/>
    <n v="1"/>
    <n v="12"/>
    <x v="0"/>
    <x v="0"/>
    <n v="12"/>
  </r>
  <r>
    <s v="BB0007"/>
    <s v="2026-09-06"/>
    <n v="2026"/>
    <x v="1"/>
    <s v="Sunday"/>
    <s v="16:59:00"/>
    <x v="6"/>
    <x v="4"/>
    <s v="Coffee"/>
    <n v="3"/>
    <n v="13"/>
    <x v="2"/>
    <x v="0"/>
    <n v="39"/>
  </r>
  <r>
    <s v="BB0273"/>
    <s v="2026-09-06"/>
    <n v="2026"/>
    <x v="1"/>
    <s v="Sunday"/>
    <s v="17:15:00"/>
    <x v="10"/>
    <x v="3"/>
    <s v="Pastry"/>
    <n v="2"/>
    <n v="9"/>
    <x v="1"/>
    <x v="0"/>
    <n v="18"/>
  </r>
  <r>
    <s v="BB0550"/>
    <s v="2026-09-06"/>
    <n v="2026"/>
    <x v="1"/>
    <s v="Sunday"/>
    <s v="17:20:00"/>
    <x v="10"/>
    <x v="4"/>
    <s v="Coffee"/>
    <n v="2"/>
    <n v="13"/>
    <x v="2"/>
    <x v="0"/>
    <n v="26"/>
  </r>
  <r>
    <s v="BB0053"/>
    <s v="2026-09-06"/>
    <n v="2026"/>
    <x v="1"/>
    <s v="Sunday"/>
    <s v="18:29:00"/>
    <x v="11"/>
    <x v="1"/>
    <s v="Coffee"/>
    <n v="1"/>
    <n v="12"/>
    <x v="1"/>
    <x v="1"/>
    <n v="12"/>
  </r>
  <r>
    <s v="BB0104"/>
    <s v="2026-09-06"/>
    <n v="2026"/>
    <x v="1"/>
    <s v="Sunday"/>
    <s v="18:56:00"/>
    <x v="11"/>
    <x v="6"/>
    <s v="Coffee"/>
    <n v="1"/>
    <n v="7"/>
    <x v="2"/>
    <x v="1"/>
    <n v="7"/>
  </r>
  <r>
    <s v="BB0190"/>
    <s v="2026-09-06"/>
    <n v="2026"/>
    <x v="1"/>
    <s v="Sunday"/>
    <s v="19:18:00"/>
    <x v="7"/>
    <x v="5"/>
    <s v="Coffee"/>
    <n v="1"/>
    <n v="9"/>
    <x v="1"/>
    <x v="1"/>
    <n v="9"/>
  </r>
  <r>
    <s v="BB0183"/>
    <s v="2026-09-06"/>
    <n v="2026"/>
    <x v="1"/>
    <s v="Sunday"/>
    <s v="19:25:00"/>
    <x v="7"/>
    <x v="9"/>
    <s v="Coffee"/>
    <n v="1"/>
    <n v="14"/>
    <x v="2"/>
    <x v="0"/>
    <n v="14"/>
  </r>
  <r>
    <s v="BB0319"/>
    <s v="2026-09-06"/>
    <n v="2026"/>
    <x v="1"/>
    <s v="Sunday"/>
    <s v="19:50:00"/>
    <x v="7"/>
    <x v="11"/>
    <s v="Dessert"/>
    <n v="1"/>
    <n v="16"/>
    <x v="1"/>
    <x v="0"/>
    <n v="16"/>
  </r>
  <r>
    <s v="BB0377"/>
    <s v="2026-09-07"/>
    <n v="2026"/>
    <x v="1"/>
    <s v="Monday"/>
    <s v="10:39:00"/>
    <x v="8"/>
    <x v="3"/>
    <s v="Pastry"/>
    <n v="2"/>
    <n v="9"/>
    <x v="1"/>
    <x v="1"/>
    <n v="18"/>
  </r>
  <r>
    <s v="BB0226"/>
    <s v="2026-09-07"/>
    <n v="2026"/>
    <x v="1"/>
    <s v="Monday"/>
    <s v="10:44:00"/>
    <x v="8"/>
    <x v="11"/>
    <s v="Dessert"/>
    <n v="4"/>
    <n v="16"/>
    <x v="1"/>
    <x v="0"/>
    <n v="64"/>
  </r>
  <r>
    <s v="BB0002"/>
    <s v="2026-09-07"/>
    <n v="2026"/>
    <x v="1"/>
    <s v="Monday"/>
    <s v="10:59:00"/>
    <x v="8"/>
    <x v="8"/>
    <s v="Dessert"/>
    <n v="1"/>
    <n v="10"/>
    <x v="1"/>
    <x v="1"/>
    <n v="10"/>
  </r>
  <r>
    <s v="BB0398"/>
    <s v="2026-09-07"/>
    <n v="2026"/>
    <x v="1"/>
    <s v="Monday"/>
    <s v="11:03:00"/>
    <x v="2"/>
    <x v="1"/>
    <s v="Coffee"/>
    <n v="1"/>
    <n v="12"/>
    <x v="2"/>
    <x v="1"/>
    <n v="12"/>
  </r>
  <r>
    <s v="BB0529"/>
    <s v="2026-09-07"/>
    <n v="2026"/>
    <x v="1"/>
    <s v="Monday"/>
    <s v="11:08:00"/>
    <x v="2"/>
    <x v="5"/>
    <s v="Coffee"/>
    <n v="1"/>
    <n v="9"/>
    <x v="0"/>
    <x v="1"/>
    <n v="9"/>
  </r>
  <r>
    <s v="BB0163"/>
    <s v="2026-09-07"/>
    <n v="2026"/>
    <x v="1"/>
    <s v="Monday"/>
    <s v="13:20:00"/>
    <x v="3"/>
    <x v="6"/>
    <s v="Coffee"/>
    <n v="1"/>
    <n v="7"/>
    <x v="1"/>
    <x v="0"/>
    <n v="7"/>
  </r>
  <r>
    <s v="BB0479"/>
    <s v="2026-09-07"/>
    <n v="2026"/>
    <x v="1"/>
    <s v="Monday"/>
    <s v="14:20:00"/>
    <x v="4"/>
    <x v="1"/>
    <s v="Coffee"/>
    <n v="1"/>
    <n v="12"/>
    <x v="1"/>
    <x v="0"/>
    <n v="12"/>
  </r>
  <r>
    <s v="BB0141"/>
    <s v="2026-09-07"/>
    <n v="2026"/>
    <x v="1"/>
    <s v="Monday"/>
    <s v="15:32:00"/>
    <x v="5"/>
    <x v="1"/>
    <s v="Coffee"/>
    <n v="1"/>
    <n v="12"/>
    <x v="2"/>
    <x v="1"/>
    <n v="12"/>
  </r>
  <r>
    <s v="BB0346"/>
    <s v="2026-09-07"/>
    <n v="2026"/>
    <x v="1"/>
    <s v="Monday"/>
    <s v="17:13:00"/>
    <x v="10"/>
    <x v="11"/>
    <s v="Dessert"/>
    <n v="2"/>
    <n v="16"/>
    <x v="2"/>
    <x v="1"/>
    <n v="32"/>
  </r>
  <r>
    <s v="BB0502"/>
    <s v="2026-09-07"/>
    <n v="2026"/>
    <x v="1"/>
    <s v="Monday"/>
    <s v="17:33:00"/>
    <x v="10"/>
    <x v="4"/>
    <s v="Coffee"/>
    <n v="3"/>
    <n v="13"/>
    <x v="2"/>
    <x v="1"/>
    <n v="39"/>
  </r>
  <r>
    <s v="BB0542"/>
    <s v="2026-09-07"/>
    <n v="2026"/>
    <x v="1"/>
    <s v="Monday"/>
    <s v="17:44:00"/>
    <x v="10"/>
    <x v="10"/>
    <s v="Non-Coffee"/>
    <n v="1"/>
    <n v="12"/>
    <x v="1"/>
    <x v="0"/>
    <n v="12"/>
  </r>
  <r>
    <s v="BB0353"/>
    <s v="2026-09-08"/>
    <n v="2026"/>
    <x v="1"/>
    <s v="Tuesday"/>
    <s v="09:46:00"/>
    <x v="1"/>
    <x v="5"/>
    <s v="Coffee"/>
    <n v="1"/>
    <n v="9"/>
    <x v="1"/>
    <x v="1"/>
    <n v="9"/>
  </r>
  <r>
    <s v="BB0058"/>
    <s v="2026-09-08"/>
    <n v="2026"/>
    <x v="1"/>
    <s v="Tuesday"/>
    <s v="10:55:00"/>
    <x v="8"/>
    <x v="8"/>
    <s v="Dessert"/>
    <n v="2"/>
    <n v="10"/>
    <x v="1"/>
    <x v="0"/>
    <n v="20"/>
  </r>
  <r>
    <s v="BB0526"/>
    <s v="2026-09-08"/>
    <n v="2026"/>
    <x v="1"/>
    <s v="Tuesday"/>
    <s v="11:51:00"/>
    <x v="2"/>
    <x v="4"/>
    <s v="Coffee"/>
    <n v="2"/>
    <n v="13"/>
    <x v="0"/>
    <x v="0"/>
    <n v="26"/>
  </r>
  <r>
    <s v="BB0072"/>
    <s v="2026-09-08"/>
    <n v="2026"/>
    <x v="1"/>
    <s v="Tuesday"/>
    <s v="14:05:00"/>
    <x v="4"/>
    <x v="10"/>
    <s v="Non-Coffee"/>
    <n v="1"/>
    <n v="12"/>
    <x v="2"/>
    <x v="0"/>
    <n v="12"/>
  </r>
  <r>
    <s v="BB0106"/>
    <s v="2026-09-08"/>
    <n v="2026"/>
    <x v="1"/>
    <s v="Tuesday"/>
    <s v="15:49:00"/>
    <x v="5"/>
    <x v="8"/>
    <s v="Dessert"/>
    <n v="1"/>
    <n v="10"/>
    <x v="1"/>
    <x v="0"/>
    <n v="10"/>
  </r>
  <r>
    <s v="BB0113"/>
    <s v="2026-09-08"/>
    <n v="2026"/>
    <x v="1"/>
    <s v="Tuesday"/>
    <s v="16:09:00"/>
    <x v="6"/>
    <x v="1"/>
    <s v="Coffee"/>
    <n v="3"/>
    <n v="12"/>
    <x v="2"/>
    <x v="0"/>
    <n v="36"/>
  </r>
  <r>
    <s v="BB0267"/>
    <s v="2026-09-08"/>
    <n v="2026"/>
    <x v="1"/>
    <s v="Tuesday"/>
    <s v="16:24:00"/>
    <x v="6"/>
    <x v="1"/>
    <s v="Coffee"/>
    <n v="2"/>
    <n v="12"/>
    <x v="0"/>
    <x v="1"/>
    <n v="24"/>
  </r>
  <r>
    <s v="BB0230"/>
    <s v="2026-09-08"/>
    <n v="2026"/>
    <x v="1"/>
    <s v="Tuesday"/>
    <s v="17:21:00"/>
    <x v="10"/>
    <x v="9"/>
    <s v="Coffee"/>
    <n v="2"/>
    <n v="14"/>
    <x v="1"/>
    <x v="1"/>
    <n v="28"/>
  </r>
  <r>
    <s v="BB0216"/>
    <s v="2026-09-08"/>
    <n v="2026"/>
    <x v="1"/>
    <s v="Tuesday"/>
    <s v="17:32:00"/>
    <x v="10"/>
    <x v="2"/>
    <s v="Non-Coffee"/>
    <n v="2"/>
    <n v="14"/>
    <x v="0"/>
    <x v="0"/>
    <n v="28"/>
  </r>
  <r>
    <s v="BB0494"/>
    <s v="2026-09-08"/>
    <n v="2026"/>
    <x v="1"/>
    <s v="Tuesday"/>
    <s v="17:32:00"/>
    <x v="10"/>
    <x v="4"/>
    <s v="Coffee"/>
    <n v="1"/>
    <n v="13"/>
    <x v="1"/>
    <x v="0"/>
    <n v="13"/>
  </r>
  <r>
    <s v="BB0090"/>
    <s v="2026-09-08"/>
    <n v="2026"/>
    <x v="1"/>
    <s v="Tuesday"/>
    <s v="18:48:00"/>
    <x v="11"/>
    <x v="4"/>
    <s v="Coffee"/>
    <n v="1"/>
    <n v="13"/>
    <x v="1"/>
    <x v="0"/>
    <n v="13"/>
  </r>
  <r>
    <s v="BB0358"/>
    <s v="2026-09-09"/>
    <n v="2026"/>
    <x v="1"/>
    <s v="Wednesday"/>
    <s v="10:18:00"/>
    <x v="8"/>
    <x v="2"/>
    <s v="Non-Coffee"/>
    <n v="1"/>
    <n v="14"/>
    <x v="0"/>
    <x v="1"/>
    <n v="14"/>
  </r>
  <r>
    <s v="BB0244"/>
    <s v="2026-09-09"/>
    <n v="2026"/>
    <x v="1"/>
    <s v="Wednesday"/>
    <s v="10:59:00"/>
    <x v="8"/>
    <x v="4"/>
    <s v="Coffee"/>
    <n v="1"/>
    <n v="13"/>
    <x v="2"/>
    <x v="1"/>
    <n v="13"/>
  </r>
  <r>
    <s v="BB0093"/>
    <s v="2026-09-09"/>
    <n v="2026"/>
    <x v="1"/>
    <s v="Wednesday"/>
    <s v="11:09:00"/>
    <x v="2"/>
    <x v="9"/>
    <s v="Coffee"/>
    <n v="1"/>
    <n v="13"/>
    <x v="0"/>
    <x v="0"/>
    <n v="13"/>
  </r>
  <r>
    <s v="BB0350"/>
    <s v="2026-09-09"/>
    <n v="2026"/>
    <x v="1"/>
    <s v="Wednesday"/>
    <s v="11:20:00"/>
    <x v="2"/>
    <x v="0"/>
    <s v="Coffee"/>
    <n v="2"/>
    <n v="15"/>
    <x v="1"/>
    <x v="0"/>
    <n v="30"/>
  </r>
  <r>
    <s v="BB0481"/>
    <s v="2026-09-09"/>
    <n v="2026"/>
    <x v="1"/>
    <s v="Wednesday"/>
    <s v="12:17:00"/>
    <x v="9"/>
    <x v="0"/>
    <s v="Coffee"/>
    <n v="2"/>
    <n v="15"/>
    <x v="1"/>
    <x v="1"/>
    <n v="30"/>
  </r>
  <r>
    <s v="BB0136"/>
    <s v="2026-09-09"/>
    <n v="2026"/>
    <x v="1"/>
    <s v="Wednesday"/>
    <s v="13:02:00"/>
    <x v="3"/>
    <x v="4"/>
    <s v="Coffee"/>
    <n v="1"/>
    <n v="13"/>
    <x v="1"/>
    <x v="0"/>
    <n v="13"/>
  </r>
  <r>
    <s v="BB0446"/>
    <s v="2026-09-09"/>
    <n v="2026"/>
    <x v="1"/>
    <s v="Wednesday"/>
    <s v="14:03:00"/>
    <x v="4"/>
    <x v="5"/>
    <s v="Coffee"/>
    <n v="1"/>
    <n v="9"/>
    <x v="2"/>
    <x v="0"/>
    <n v="9"/>
  </r>
  <r>
    <s v="BB0204"/>
    <s v="2026-09-09"/>
    <n v="2026"/>
    <x v="1"/>
    <s v="Wednesday"/>
    <s v="14:28:00"/>
    <x v="4"/>
    <x v="4"/>
    <s v="Coffee"/>
    <n v="1"/>
    <n v="13"/>
    <x v="1"/>
    <x v="0"/>
    <n v="13"/>
  </r>
  <r>
    <s v="BB0423"/>
    <s v="2026-09-09"/>
    <n v="2026"/>
    <x v="1"/>
    <s v="Wednesday"/>
    <s v="15:05:00"/>
    <x v="5"/>
    <x v="6"/>
    <s v="Coffee"/>
    <n v="1"/>
    <n v="7"/>
    <x v="0"/>
    <x v="0"/>
    <n v="7"/>
  </r>
  <r>
    <s v="BB0196"/>
    <s v="2026-09-09"/>
    <n v="2026"/>
    <x v="1"/>
    <s v="Wednesday"/>
    <s v="16:03:00"/>
    <x v="6"/>
    <x v="4"/>
    <s v="Coffee"/>
    <n v="2"/>
    <n v="13"/>
    <x v="0"/>
    <x v="0"/>
    <n v="26"/>
  </r>
  <r>
    <s v="BB0151"/>
    <s v="2026-09-09"/>
    <n v="2026"/>
    <x v="1"/>
    <s v="Wednesday"/>
    <s v="16:11:00"/>
    <x v="6"/>
    <x v="1"/>
    <s v="Coffee"/>
    <n v="1"/>
    <n v="12"/>
    <x v="0"/>
    <x v="0"/>
    <n v="12"/>
  </r>
  <r>
    <s v="BB0298"/>
    <s v="2026-09-09"/>
    <n v="2026"/>
    <x v="1"/>
    <s v="Wednesday"/>
    <s v="16:23:00"/>
    <x v="6"/>
    <x v="7"/>
    <s v="Pastry"/>
    <n v="2"/>
    <n v="8"/>
    <x v="1"/>
    <x v="0"/>
    <n v="16"/>
  </r>
  <r>
    <s v="BB0022"/>
    <s v="2026-09-09"/>
    <n v="2026"/>
    <x v="1"/>
    <s v="Wednesday"/>
    <s v="17:30:00"/>
    <x v="10"/>
    <x v="0"/>
    <s v="Coffee"/>
    <n v="1"/>
    <n v="15"/>
    <x v="1"/>
    <x v="0"/>
    <n v="15"/>
  </r>
  <r>
    <s v="BB0340"/>
    <s v="2026-09-09"/>
    <n v="2026"/>
    <x v="1"/>
    <s v="Wednesday"/>
    <s v="18:49:00"/>
    <x v="11"/>
    <x v="1"/>
    <s v="Coffee"/>
    <n v="3"/>
    <n v="12"/>
    <x v="0"/>
    <x v="1"/>
    <n v="36"/>
  </r>
  <r>
    <s v="BB0037"/>
    <s v="2026-09-10"/>
    <n v="2026"/>
    <x v="1"/>
    <s v="Thursday"/>
    <s v="10:27:00"/>
    <x v="8"/>
    <x v="7"/>
    <s v="Pastry"/>
    <n v="1"/>
    <n v="8"/>
    <x v="0"/>
    <x v="1"/>
    <n v="8"/>
  </r>
  <r>
    <s v="BB0234"/>
    <s v="2026-09-10"/>
    <n v="2026"/>
    <x v="1"/>
    <s v="Thursday"/>
    <s v="10:33:00"/>
    <x v="8"/>
    <x v="1"/>
    <s v="Coffee"/>
    <n v="1"/>
    <n v="12"/>
    <x v="2"/>
    <x v="1"/>
    <n v="12"/>
  </r>
  <r>
    <s v="BB0402"/>
    <s v="2026-09-10"/>
    <n v="2026"/>
    <x v="1"/>
    <s v="Thursday"/>
    <s v="10:44:00"/>
    <x v="8"/>
    <x v="6"/>
    <s v="Coffee"/>
    <n v="1"/>
    <n v="7"/>
    <x v="2"/>
    <x v="0"/>
    <n v="7"/>
  </r>
  <r>
    <s v="BB0069"/>
    <s v="2026-09-10"/>
    <n v="2026"/>
    <x v="1"/>
    <s v="Thursday"/>
    <s v="11:42:00"/>
    <x v="2"/>
    <x v="0"/>
    <s v="Coffee"/>
    <n v="3"/>
    <n v="15"/>
    <x v="2"/>
    <x v="1"/>
    <n v="45"/>
  </r>
  <r>
    <s v="BB0308"/>
    <s v="2026-09-10"/>
    <n v="2026"/>
    <x v="1"/>
    <s v="Thursday"/>
    <s v="12:07:00"/>
    <x v="9"/>
    <x v="1"/>
    <s v="Coffee"/>
    <n v="1"/>
    <n v="12"/>
    <x v="2"/>
    <x v="1"/>
    <n v="12"/>
  </r>
  <r>
    <s v="BB0020"/>
    <s v="2026-09-10"/>
    <n v="2026"/>
    <x v="1"/>
    <s v="Thursday"/>
    <s v="14:30:00"/>
    <x v="4"/>
    <x v="3"/>
    <s v="Pastry"/>
    <n v="1"/>
    <n v="9"/>
    <x v="0"/>
    <x v="1"/>
    <n v="9"/>
  </r>
  <r>
    <s v="BB0102"/>
    <s v="2026-09-10"/>
    <n v="2026"/>
    <x v="1"/>
    <s v="Thursday"/>
    <s v="17:28:00"/>
    <x v="10"/>
    <x v="5"/>
    <s v="Coffee"/>
    <n v="1"/>
    <n v="9"/>
    <x v="2"/>
    <x v="0"/>
    <n v="9"/>
  </r>
  <r>
    <s v="BB0420"/>
    <s v="2026-09-11"/>
    <n v="2026"/>
    <x v="1"/>
    <s v="Friday"/>
    <s v="10:27:00"/>
    <x v="8"/>
    <x v="5"/>
    <s v="Coffee"/>
    <n v="1"/>
    <n v="9"/>
    <x v="0"/>
    <x v="1"/>
    <n v="9"/>
  </r>
  <r>
    <s v="BB0422"/>
    <s v="2026-09-11"/>
    <n v="2026"/>
    <x v="1"/>
    <s v="Friday"/>
    <s v="10:31:00"/>
    <x v="8"/>
    <x v="5"/>
    <s v="Coffee"/>
    <n v="1"/>
    <n v="9"/>
    <x v="2"/>
    <x v="0"/>
    <n v="9"/>
  </r>
  <r>
    <s v="BB0238"/>
    <s v="2026-09-11"/>
    <n v="2026"/>
    <x v="1"/>
    <s v="Friday"/>
    <s v="10:56:00"/>
    <x v="8"/>
    <x v="4"/>
    <s v="Coffee"/>
    <n v="1"/>
    <n v="13"/>
    <x v="1"/>
    <x v="0"/>
    <n v="13"/>
  </r>
  <r>
    <s v="BB0290"/>
    <s v="2026-09-11"/>
    <n v="2026"/>
    <x v="1"/>
    <s v="Friday"/>
    <s v="11:46:00"/>
    <x v="2"/>
    <x v="5"/>
    <s v="Coffee"/>
    <n v="2"/>
    <n v="9"/>
    <x v="2"/>
    <x v="1"/>
    <n v="18"/>
  </r>
  <r>
    <s v="BB0394"/>
    <s v="2026-09-11"/>
    <n v="2026"/>
    <x v="1"/>
    <s v="Friday"/>
    <s v="13:09:00"/>
    <x v="3"/>
    <x v="9"/>
    <s v="Coffee"/>
    <n v="1"/>
    <n v="14"/>
    <x v="2"/>
    <x v="1"/>
    <n v="14"/>
  </r>
  <r>
    <s v="BB0059"/>
    <s v="2026-09-11"/>
    <n v="2026"/>
    <x v="1"/>
    <s v="Friday"/>
    <s v="13:25:00"/>
    <x v="3"/>
    <x v="4"/>
    <s v="Coffee"/>
    <n v="1"/>
    <n v="13"/>
    <x v="0"/>
    <x v="0"/>
    <n v="13"/>
  </r>
  <r>
    <s v="BB0107"/>
    <s v="2026-09-11"/>
    <n v="2026"/>
    <x v="1"/>
    <s v="Friday"/>
    <s v="13:45:00"/>
    <x v="3"/>
    <x v="0"/>
    <s v="Coffee"/>
    <n v="3"/>
    <n v="15"/>
    <x v="1"/>
    <x v="0"/>
    <n v="45"/>
  </r>
  <r>
    <s v="BB0496"/>
    <s v="2026-09-11"/>
    <n v="2026"/>
    <x v="1"/>
    <s v="Friday"/>
    <s v="14:26:00"/>
    <x v="4"/>
    <x v="5"/>
    <s v="Coffee"/>
    <n v="2"/>
    <n v="9"/>
    <x v="0"/>
    <x v="1"/>
    <n v="18"/>
  </r>
  <r>
    <s v="BB0445"/>
    <s v="2026-09-11"/>
    <n v="2026"/>
    <x v="1"/>
    <s v="Friday"/>
    <s v="16:17:00"/>
    <x v="6"/>
    <x v="7"/>
    <s v="Pastry"/>
    <n v="1"/>
    <n v="8"/>
    <x v="1"/>
    <x v="1"/>
    <n v="8"/>
  </r>
  <r>
    <s v="BB0400"/>
    <s v="2026-09-11"/>
    <n v="2026"/>
    <x v="1"/>
    <s v="Friday"/>
    <s v="16:35:00"/>
    <x v="6"/>
    <x v="3"/>
    <s v="Pastry"/>
    <n v="1"/>
    <n v="9"/>
    <x v="2"/>
    <x v="1"/>
    <n v="9"/>
  </r>
  <r>
    <s v="BB0541"/>
    <s v="2026-09-11"/>
    <n v="2026"/>
    <x v="1"/>
    <s v="Friday"/>
    <s v="17:59:00"/>
    <x v="10"/>
    <x v="10"/>
    <s v="Non-Coffee"/>
    <n v="1"/>
    <n v="12"/>
    <x v="2"/>
    <x v="1"/>
    <n v="12"/>
  </r>
  <r>
    <s v="BB0220"/>
    <s v="2026-09-11"/>
    <n v="2026"/>
    <x v="1"/>
    <s v="Friday"/>
    <s v="19:10:00"/>
    <x v="7"/>
    <x v="9"/>
    <s v="Coffee"/>
    <n v="3"/>
    <n v="14"/>
    <x v="2"/>
    <x v="0"/>
    <n v="42"/>
  </r>
  <r>
    <s v="BB0289"/>
    <s v="2026-09-12"/>
    <n v="2026"/>
    <x v="1"/>
    <s v="Saturday"/>
    <s v="09:48:00"/>
    <x v="1"/>
    <x v="1"/>
    <s v="Coffee"/>
    <n v="1"/>
    <n v="12"/>
    <x v="1"/>
    <x v="0"/>
    <n v="12"/>
  </r>
  <r>
    <s v="BB0404"/>
    <s v="2026-09-12"/>
    <n v="2026"/>
    <x v="1"/>
    <s v="Saturday"/>
    <s v="11:12:00"/>
    <x v="2"/>
    <x v="1"/>
    <s v="Coffee"/>
    <n v="3"/>
    <n v="12"/>
    <x v="1"/>
    <x v="0"/>
    <n v="36"/>
  </r>
  <r>
    <s v="BB0258"/>
    <s v="2026-09-12"/>
    <n v="2026"/>
    <x v="1"/>
    <s v="Saturday"/>
    <s v="15:11:00"/>
    <x v="5"/>
    <x v="8"/>
    <s v="Dessert"/>
    <n v="1"/>
    <n v="10"/>
    <x v="0"/>
    <x v="1"/>
    <n v="10"/>
  </r>
  <r>
    <s v="BB0176"/>
    <s v="2026-09-12"/>
    <n v="2026"/>
    <x v="1"/>
    <s v="Saturday"/>
    <s v="17:45:00"/>
    <x v="10"/>
    <x v="4"/>
    <s v="Coffee"/>
    <n v="1"/>
    <n v="13"/>
    <x v="2"/>
    <x v="0"/>
    <n v="13"/>
  </r>
  <r>
    <s v="BB0288"/>
    <s v="2026-09-12"/>
    <n v="2026"/>
    <x v="1"/>
    <s v="Saturday"/>
    <s v="17:55:00"/>
    <x v="10"/>
    <x v="9"/>
    <s v="Coffee"/>
    <n v="1"/>
    <n v="14"/>
    <x v="2"/>
    <x v="0"/>
    <n v="14"/>
  </r>
  <r>
    <s v="BB0294"/>
    <s v="2026-09-12"/>
    <n v="2026"/>
    <x v="1"/>
    <s v="Saturday"/>
    <s v="18:08:00"/>
    <x v="11"/>
    <x v="4"/>
    <s v="Coffee"/>
    <n v="3"/>
    <n v="13"/>
    <x v="1"/>
    <x v="1"/>
    <n v="39"/>
  </r>
  <r>
    <s v="BB0189"/>
    <s v="2026-09-12"/>
    <n v="2026"/>
    <x v="1"/>
    <s v="Saturday"/>
    <s v="18:36:00"/>
    <x v="11"/>
    <x v="8"/>
    <s v="Dessert"/>
    <n v="1"/>
    <n v="10"/>
    <x v="2"/>
    <x v="0"/>
    <n v="10"/>
  </r>
  <r>
    <s v="BB0049"/>
    <s v="2026-09-12"/>
    <n v="2026"/>
    <x v="1"/>
    <s v="Saturday"/>
    <s v="19:03:00"/>
    <x v="7"/>
    <x v="7"/>
    <s v="Pastry"/>
    <n v="1"/>
    <n v="8"/>
    <x v="2"/>
    <x v="0"/>
    <n v="8"/>
  </r>
  <r>
    <s v="BB0291"/>
    <s v="2026-09-12"/>
    <n v="2026"/>
    <x v="1"/>
    <s v="Saturday"/>
    <s v="19:09:00"/>
    <x v="7"/>
    <x v="5"/>
    <s v="Coffee"/>
    <n v="1"/>
    <n v="9"/>
    <x v="2"/>
    <x v="1"/>
    <n v="9"/>
  </r>
  <r>
    <s v="BB0345"/>
    <s v="2026-09-13"/>
    <n v="2026"/>
    <x v="1"/>
    <s v="Sunday"/>
    <s v="11:40:00"/>
    <x v="2"/>
    <x v="3"/>
    <s v="Pastry"/>
    <n v="1"/>
    <n v="9"/>
    <x v="1"/>
    <x v="1"/>
    <n v="9"/>
  </r>
  <r>
    <s v="BB0193"/>
    <s v="2026-09-13"/>
    <n v="2026"/>
    <x v="1"/>
    <s v="Sunday"/>
    <s v="12:01:00"/>
    <x v="9"/>
    <x v="7"/>
    <s v="Pastry"/>
    <n v="2"/>
    <n v="8"/>
    <x v="2"/>
    <x v="1"/>
    <n v="16"/>
  </r>
  <r>
    <s v="BB0248"/>
    <s v="2026-09-13"/>
    <n v="2026"/>
    <x v="1"/>
    <s v="Sunday"/>
    <s v="12:38:00"/>
    <x v="9"/>
    <x v="1"/>
    <s v="Coffee"/>
    <n v="1"/>
    <n v="12"/>
    <x v="0"/>
    <x v="1"/>
    <n v="12"/>
  </r>
  <r>
    <s v="BB0425"/>
    <s v="2026-09-13"/>
    <n v="2026"/>
    <x v="1"/>
    <s v="Sunday"/>
    <s v="12:56:00"/>
    <x v="9"/>
    <x v="6"/>
    <s v="Coffee"/>
    <n v="1"/>
    <n v="7"/>
    <x v="2"/>
    <x v="0"/>
    <n v="7"/>
  </r>
  <r>
    <s v="BB0471"/>
    <s v="2026-09-13"/>
    <n v="2026"/>
    <x v="1"/>
    <s v="Sunday"/>
    <s v="13:55:00"/>
    <x v="3"/>
    <x v="9"/>
    <s v="Coffee"/>
    <n v="1"/>
    <n v="14"/>
    <x v="0"/>
    <x v="1"/>
    <n v="14"/>
  </r>
  <r>
    <s v="BB0172"/>
    <s v="2026-09-13"/>
    <n v="2026"/>
    <x v="1"/>
    <s v="Sunday"/>
    <s v="14:11:00"/>
    <x v="4"/>
    <x v="1"/>
    <s v="Coffee"/>
    <n v="1"/>
    <n v="12"/>
    <x v="1"/>
    <x v="0"/>
    <n v="12"/>
  </r>
  <r>
    <s v="BB0336"/>
    <s v="2026-09-13"/>
    <n v="2026"/>
    <x v="1"/>
    <s v="Sunday"/>
    <s v="14:39:00"/>
    <x v="4"/>
    <x v="5"/>
    <s v="Coffee"/>
    <n v="2"/>
    <n v="9"/>
    <x v="1"/>
    <x v="1"/>
    <n v="18"/>
  </r>
  <r>
    <s v="BB0491"/>
    <s v="2026-09-13"/>
    <n v="2026"/>
    <x v="1"/>
    <s v="Sunday"/>
    <s v="15:13:00"/>
    <x v="5"/>
    <x v="4"/>
    <s v="Coffee"/>
    <n v="1"/>
    <n v="13"/>
    <x v="1"/>
    <x v="1"/>
    <n v="13"/>
  </r>
  <r>
    <s v="BB0349"/>
    <s v="2026-09-13"/>
    <n v="2026"/>
    <x v="1"/>
    <s v="Sunday"/>
    <s v="15:26:00"/>
    <x v="5"/>
    <x v="0"/>
    <s v="Coffee"/>
    <n v="1"/>
    <n v="15"/>
    <x v="1"/>
    <x v="1"/>
    <n v="15"/>
  </r>
  <r>
    <s v="BB0228"/>
    <s v="2026-09-13"/>
    <n v="2026"/>
    <x v="1"/>
    <s v="Sunday"/>
    <s v="16:33:00"/>
    <x v="6"/>
    <x v="4"/>
    <s v="Coffee"/>
    <n v="2"/>
    <n v="13"/>
    <x v="1"/>
    <x v="1"/>
    <n v="26"/>
  </r>
  <r>
    <s v="BB0051"/>
    <s v="2026-09-13"/>
    <n v="2026"/>
    <x v="1"/>
    <s v="Sunday"/>
    <s v="18:08:00"/>
    <x v="11"/>
    <x v="6"/>
    <s v="Coffee"/>
    <n v="1"/>
    <n v="7"/>
    <x v="1"/>
    <x v="1"/>
    <n v="7"/>
  </r>
  <r>
    <s v="BB0326"/>
    <s v="2026-09-13"/>
    <n v="2026"/>
    <x v="1"/>
    <s v="Sunday"/>
    <s v="18:54:00"/>
    <x v="11"/>
    <x v="1"/>
    <s v="Coffee"/>
    <n v="1"/>
    <n v="12"/>
    <x v="1"/>
    <x v="0"/>
    <n v="12"/>
  </r>
  <r>
    <s v="BB0056"/>
    <s v="2026-09-14"/>
    <n v="2026"/>
    <x v="1"/>
    <s v="Monday"/>
    <s v="08:05:00"/>
    <x v="0"/>
    <x v="7"/>
    <s v="Pastry"/>
    <n v="2"/>
    <n v="8"/>
    <x v="1"/>
    <x v="0"/>
    <n v="16"/>
  </r>
  <r>
    <s v="BB0040"/>
    <s v="2026-09-14"/>
    <n v="2026"/>
    <x v="1"/>
    <s v="Monday"/>
    <s v="10:07:00"/>
    <x v="8"/>
    <x v="10"/>
    <s v="Non-Coffee"/>
    <n v="1"/>
    <n v="12"/>
    <x v="1"/>
    <x v="0"/>
    <n v="12"/>
  </r>
  <r>
    <s v="BB0017"/>
    <s v="2026-09-14"/>
    <n v="2026"/>
    <x v="1"/>
    <s v="Monday"/>
    <s v="10:09:00"/>
    <x v="8"/>
    <x v="0"/>
    <s v="Coffee"/>
    <n v="1"/>
    <n v="15"/>
    <x v="1"/>
    <x v="0"/>
    <n v="15"/>
  </r>
  <r>
    <s v="BB0487"/>
    <s v="2026-09-14"/>
    <n v="2026"/>
    <x v="1"/>
    <s v="Monday"/>
    <s v="11:39:00"/>
    <x v="2"/>
    <x v="1"/>
    <s v="Coffee"/>
    <n v="1"/>
    <n v="12"/>
    <x v="1"/>
    <x v="0"/>
    <n v="12"/>
  </r>
  <r>
    <s v="BB0275"/>
    <s v="2026-09-14"/>
    <n v="2026"/>
    <x v="1"/>
    <s v="Monday"/>
    <s v="11:41:00"/>
    <x v="2"/>
    <x v="1"/>
    <s v="Coffee"/>
    <n v="2"/>
    <n v="12"/>
    <x v="2"/>
    <x v="1"/>
    <n v="24"/>
  </r>
  <r>
    <s v="BB0114"/>
    <s v="2026-09-14"/>
    <n v="2026"/>
    <x v="1"/>
    <s v="Monday"/>
    <s v="11:52:00"/>
    <x v="2"/>
    <x v="0"/>
    <s v="Coffee"/>
    <n v="1"/>
    <n v="15"/>
    <x v="1"/>
    <x v="0"/>
    <n v="15"/>
  </r>
  <r>
    <s v="BB0071"/>
    <s v="2026-09-14"/>
    <n v="2026"/>
    <x v="1"/>
    <s v="Monday"/>
    <s v="12:56:00"/>
    <x v="9"/>
    <x v="4"/>
    <s v="Coffee"/>
    <n v="1"/>
    <n v="13"/>
    <x v="1"/>
    <x v="0"/>
    <n v="13"/>
  </r>
  <r>
    <s v="BB0521"/>
    <s v="2026-09-14"/>
    <n v="2026"/>
    <x v="1"/>
    <s v="Monday"/>
    <s v="13:16:00"/>
    <x v="3"/>
    <x v="2"/>
    <s v="Non-Coffee"/>
    <n v="3"/>
    <n v="14"/>
    <x v="1"/>
    <x v="1"/>
    <n v="42"/>
  </r>
  <r>
    <s v="BB0520"/>
    <s v="2026-09-14"/>
    <n v="2026"/>
    <x v="1"/>
    <s v="Monday"/>
    <s v="14:15:00"/>
    <x v="4"/>
    <x v="3"/>
    <s v="Pastry"/>
    <n v="1"/>
    <n v="9"/>
    <x v="0"/>
    <x v="1"/>
    <n v="9"/>
  </r>
  <r>
    <s v="BB0016"/>
    <s v="2026-09-14"/>
    <n v="2026"/>
    <x v="1"/>
    <s v="Monday"/>
    <s v="14:26:00"/>
    <x v="4"/>
    <x v="8"/>
    <s v="Dessert"/>
    <n v="1"/>
    <n v="10"/>
    <x v="2"/>
    <x v="0"/>
    <n v="10"/>
  </r>
  <r>
    <s v="BB0405"/>
    <s v="2026-09-14"/>
    <n v="2026"/>
    <x v="1"/>
    <s v="Monday"/>
    <s v="14:53:00"/>
    <x v="4"/>
    <x v="4"/>
    <s v="Coffee"/>
    <n v="1"/>
    <n v="13"/>
    <x v="2"/>
    <x v="1"/>
    <n v="13"/>
  </r>
  <r>
    <s v="BB0430"/>
    <s v="2026-09-14"/>
    <n v="2026"/>
    <x v="1"/>
    <s v="Monday"/>
    <s v="16:11:00"/>
    <x v="6"/>
    <x v="8"/>
    <s v="Dessert"/>
    <n v="1"/>
    <n v="10"/>
    <x v="1"/>
    <x v="0"/>
    <n v="10"/>
  </r>
  <r>
    <s v="BB0245"/>
    <s v="2026-09-14"/>
    <n v="2026"/>
    <x v="1"/>
    <s v="Monday"/>
    <s v="16:26:00"/>
    <x v="6"/>
    <x v="1"/>
    <s v="Coffee"/>
    <n v="3"/>
    <n v="12"/>
    <x v="0"/>
    <x v="1"/>
    <n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2026-08-01"/>
    <n v="2026"/>
    <x v="0"/>
    <s v="Saturday"/>
    <s v="08:40:00"/>
    <n v="8"/>
    <x v="0"/>
    <s v="Coffee"/>
    <n v="1"/>
    <n v="15"/>
    <s v="Card"/>
    <s v="Takeaway"/>
    <n v="15"/>
  </r>
  <r>
    <s v="2026-08-01"/>
    <n v="2026"/>
    <x v="0"/>
    <s v="Saturday"/>
    <s v="09:24:00"/>
    <n v="9"/>
    <x v="0"/>
    <s v="Coffee"/>
    <n v="1"/>
    <n v="15"/>
    <s v="Card"/>
    <s v="Takeaway"/>
    <n v="15"/>
  </r>
  <r>
    <s v="2026-08-01"/>
    <n v="2026"/>
    <x v="0"/>
    <s v="Saturday"/>
    <s v="09:44:00"/>
    <n v="9"/>
    <x v="1"/>
    <s v="Coffee"/>
    <n v="2"/>
    <n v="12"/>
    <s v="Card"/>
    <s v="Takeaway"/>
    <n v="24"/>
  </r>
  <r>
    <s v="2026-08-01"/>
    <n v="2026"/>
    <x v="0"/>
    <s v="Saturday"/>
    <s v="11:41:00"/>
    <n v="11"/>
    <x v="2"/>
    <s v="Non-Coffee"/>
    <n v="1"/>
    <n v="14"/>
    <s v="E-Wallet"/>
    <s v="Takeaway"/>
    <n v="14"/>
  </r>
  <r>
    <s v="2026-08-01"/>
    <n v="2026"/>
    <x v="0"/>
    <s v="Saturday"/>
    <s v="11:59:00"/>
    <n v="11"/>
    <x v="3"/>
    <s v="Pastry"/>
    <n v="1"/>
    <n v="9"/>
    <s v="E-Wallet"/>
    <s v="Takeaway"/>
    <n v="9"/>
  </r>
  <r>
    <s v="2026-08-01"/>
    <n v="2026"/>
    <x v="0"/>
    <s v="Saturday"/>
    <s v="13:17:00"/>
    <n v="13"/>
    <x v="2"/>
    <s v="Non-Coffee"/>
    <n v="2"/>
    <n v="14"/>
    <s v="E-Wallet"/>
    <s v="Takeaway"/>
    <n v="28"/>
  </r>
  <r>
    <s v="2026-08-01"/>
    <n v="2026"/>
    <x v="0"/>
    <s v="Saturday"/>
    <s v="13:27:00"/>
    <n v="13"/>
    <x v="4"/>
    <s v="Coffee"/>
    <n v="2"/>
    <n v="13"/>
    <s v="E-Wallet"/>
    <s v="Takeaway"/>
    <n v="26"/>
  </r>
  <r>
    <s v="2026-08-01"/>
    <n v="2026"/>
    <x v="0"/>
    <s v="Saturday"/>
    <s v="14:24:00"/>
    <n v="14"/>
    <x v="5"/>
    <s v="Coffee"/>
    <n v="2"/>
    <n v="9"/>
    <s v="E-Wallet"/>
    <s v="Takeaway"/>
    <n v="18"/>
  </r>
  <r>
    <s v="2026-08-01"/>
    <n v="2026"/>
    <x v="0"/>
    <s v="Saturday"/>
    <s v="15:13:00"/>
    <n v="15"/>
    <x v="5"/>
    <s v="Coffee"/>
    <n v="1"/>
    <n v="9"/>
    <s v="Cash"/>
    <s v="Takeaway"/>
    <n v="9"/>
  </r>
  <r>
    <s v="2026-08-01"/>
    <n v="2026"/>
    <x v="0"/>
    <s v="Saturday"/>
    <s v="15:24:00"/>
    <n v="15"/>
    <x v="1"/>
    <s v="Coffee"/>
    <n v="2"/>
    <n v="12"/>
    <s v="E-Wallet"/>
    <s v="Dine-In"/>
    <n v="24"/>
  </r>
  <r>
    <s v="2026-08-01"/>
    <n v="2026"/>
    <x v="0"/>
    <s v="Saturday"/>
    <s v="16:21:00"/>
    <n v="16"/>
    <x v="3"/>
    <s v="Pastry"/>
    <n v="1"/>
    <n v="9"/>
    <s v="Card"/>
    <s v="Takeaway"/>
    <n v="9"/>
  </r>
  <r>
    <s v="2026-08-01"/>
    <n v="2026"/>
    <x v="0"/>
    <s v="Saturday"/>
    <s v="16:35:00"/>
    <n v="16"/>
    <x v="1"/>
    <s v="Coffee"/>
    <n v="3"/>
    <n v="12"/>
    <s v="E-Wallet"/>
    <s v="Dine-In"/>
    <n v="36"/>
  </r>
  <r>
    <s v="2026-08-01"/>
    <n v="2026"/>
    <x v="0"/>
    <s v="Saturday"/>
    <s v="19:13:00"/>
    <n v="19"/>
    <x v="6"/>
    <s v="Coffee"/>
    <n v="2"/>
    <n v="7"/>
    <s v="E-Wallet"/>
    <s v="Dine-In"/>
    <n v="14"/>
  </r>
  <r>
    <s v="2026-08-01"/>
    <n v="2026"/>
    <x v="0"/>
    <s v="Saturday"/>
    <s v="19:54:00"/>
    <n v="19"/>
    <x v="7"/>
    <s v="Pastry"/>
    <n v="3"/>
    <n v="8"/>
    <s v="Card"/>
    <s v="Takeaway"/>
    <n v="24"/>
  </r>
  <r>
    <s v="2026-08-02"/>
    <n v="2026"/>
    <x v="0"/>
    <s v="Sunday"/>
    <s v="08:23:00"/>
    <n v="8"/>
    <x v="5"/>
    <s v="Coffee"/>
    <n v="1"/>
    <n v="9"/>
    <s v="Card"/>
    <s v="Dine-In"/>
    <n v="9"/>
  </r>
  <r>
    <s v="2026-08-02"/>
    <n v="2026"/>
    <x v="0"/>
    <s v="Sunday"/>
    <s v="09:03:00"/>
    <n v="9"/>
    <x v="0"/>
    <s v="Coffee"/>
    <n v="1"/>
    <n v="15"/>
    <s v="Card"/>
    <s v="Takeaway"/>
    <n v="15"/>
  </r>
  <r>
    <s v="2026-08-02"/>
    <n v="2026"/>
    <x v="0"/>
    <s v="Sunday"/>
    <s v="10:43:00"/>
    <n v="10"/>
    <x v="8"/>
    <s v="Dessert"/>
    <n v="3"/>
    <n v="10"/>
    <s v="E-Wallet"/>
    <s v="Takeaway"/>
    <n v="30"/>
  </r>
  <r>
    <s v="2026-08-02"/>
    <n v="2026"/>
    <x v="0"/>
    <s v="Sunday"/>
    <s v="10:58:00"/>
    <n v="10"/>
    <x v="3"/>
    <s v="Pastry"/>
    <n v="1"/>
    <n v="9"/>
    <s v="Cash"/>
    <s v="Takeaway"/>
    <n v="9"/>
  </r>
  <r>
    <s v="2026-08-02"/>
    <n v="2026"/>
    <x v="0"/>
    <s v="Sunday"/>
    <s v="11:28:00"/>
    <n v="11"/>
    <x v="4"/>
    <s v="Coffee"/>
    <n v="1"/>
    <n v="13"/>
    <s v="Cash"/>
    <s v="Takeaway"/>
    <n v="13"/>
  </r>
  <r>
    <s v="2026-08-02"/>
    <n v="2026"/>
    <x v="0"/>
    <s v="Sunday"/>
    <s v="12:35:00"/>
    <n v="12"/>
    <x v="2"/>
    <s v="Non-Coffee"/>
    <n v="2"/>
    <n v="14"/>
    <s v="E-Wallet"/>
    <s v="Dine-In"/>
    <n v="28"/>
  </r>
  <r>
    <s v="2026-08-02"/>
    <n v="2026"/>
    <x v="0"/>
    <s v="Sunday"/>
    <s v="13:33:00"/>
    <n v="13"/>
    <x v="9"/>
    <s v="Coffee"/>
    <n v="1"/>
    <n v="14"/>
    <s v="Cash"/>
    <s v="Dine-In"/>
    <n v="14"/>
  </r>
  <r>
    <s v="2026-08-02"/>
    <n v="2026"/>
    <x v="0"/>
    <s v="Sunday"/>
    <s v="15:39:00"/>
    <n v="15"/>
    <x v="9"/>
    <s v="Coffee"/>
    <n v="2"/>
    <n v="14"/>
    <s v="Card"/>
    <s v="Takeaway"/>
    <n v="28"/>
  </r>
  <r>
    <s v="2026-08-02"/>
    <n v="2026"/>
    <x v="0"/>
    <s v="Sunday"/>
    <s v="16:44:00"/>
    <n v="16"/>
    <x v="2"/>
    <s v="Non-Coffee"/>
    <n v="1"/>
    <n v="14"/>
    <s v="Cash"/>
    <s v="Takeaway"/>
    <n v="14"/>
  </r>
  <r>
    <s v="2026-08-02"/>
    <n v="2026"/>
    <x v="0"/>
    <s v="Sunday"/>
    <s v="17:40:00"/>
    <n v="17"/>
    <x v="0"/>
    <s v="Coffee"/>
    <n v="2"/>
    <n v="15"/>
    <s v="E-Wallet"/>
    <s v="Takeaway"/>
    <n v="30"/>
  </r>
  <r>
    <s v="2026-08-02"/>
    <n v="2026"/>
    <x v="0"/>
    <s v="Sunday"/>
    <s v="18:03:00"/>
    <n v="18"/>
    <x v="6"/>
    <s v="Coffee"/>
    <n v="2"/>
    <n v="7"/>
    <s v="E-Wallet"/>
    <s v="Takeaway"/>
    <n v="14"/>
  </r>
  <r>
    <s v="2026-08-02"/>
    <n v="2026"/>
    <x v="0"/>
    <s v="Sunday"/>
    <s v="18:55:00"/>
    <n v="18"/>
    <x v="3"/>
    <s v="Pastry"/>
    <n v="1"/>
    <n v="9"/>
    <s v="Card"/>
    <s v="Takeaway"/>
    <n v="9"/>
  </r>
  <r>
    <s v="2026-08-02"/>
    <n v="2026"/>
    <x v="0"/>
    <s v="Sunday"/>
    <s v="19:02:00"/>
    <n v="19"/>
    <x v="5"/>
    <s v="Coffee"/>
    <n v="1"/>
    <n v="9"/>
    <s v="E-Wallet"/>
    <s v="Dine-In"/>
    <n v="9"/>
  </r>
  <r>
    <s v="2026-08-02"/>
    <n v="2026"/>
    <x v="0"/>
    <s v="Sunday"/>
    <s v="19:13:00"/>
    <n v="19"/>
    <x v="6"/>
    <s v="Coffee"/>
    <n v="1"/>
    <n v="7"/>
    <s v="E-Wallet"/>
    <s v="Takeaway"/>
    <n v="7"/>
  </r>
  <r>
    <s v="2026-08-03"/>
    <n v="2026"/>
    <x v="0"/>
    <s v="Monday"/>
    <s v="10:05:00"/>
    <n v="10"/>
    <x v="1"/>
    <s v="Coffee"/>
    <n v="2"/>
    <n v="12"/>
    <s v="E-Wallet"/>
    <s v="Takeaway"/>
    <n v="24"/>
  </r>
  <r>
    <s v="2026-08-03"/>
    <n v="2026"/>
    <x v="0"/>
    <s v="Monday"/>
    <s v="10:32:00"/>
    <n v="10"/>
    <x v="4"/>
    <s v="Coffee"/>
    <n v="3"/>
    <n v="13"/>
    <s v="E-Wallet"/>
    <s v="Dine-In"/>
    <n v="39"/>
  </r>
  <r>
    <s v="2026-08-03"/>
    <n v="2026"/>
    <x v="0"/>
    <s v="Monday"/>
    <s v="10:34:00"/>
    <n v="10"/>
    <x v="4"/>
    <s v="Coffee"/>
    <n v="2"/>
    <n v="13"/>
    <s v="Card"/>
    <s v="Dine-In"/>
    <n v="26"/>
  </r>
  <r>
    <s v="2026-08-03"/>
    <n v="2026"/>
    <x v="0"/>
    <s v="Monday"/>
    <s v="10:53:00"/>
    <n v="10"/>
    <x v="4"/>
    <s v="Coffee"/>
    <n v="1"/>
    <n v="13"/>
    <s v="Card"/>
    <s v="Dine-In"/>
    <n v="13"/>
  </r>
  <r>
    <s v="2026-08-03"/>
    <n v="2026"/>
    <x v="0"/>
    <s v="Monday"/>
    <s v="12:14:00"/>
    <n v="12"/>
    <x v="5"/>
    <s v="Coffee"/>
    <n v="1"/>
    <n v="9"/>
    <s v="Card"/>
    <s v="Dine-In"/>
    <n v="9"/>
  </r>
  <r>
    <s v="2026-08-03"/>
    <n v="2026"/>
    <x v="0"/>
    <s v="Monday"/>
    <s v="14:20:00"/>
    <n v="14"/>
    <x v="1"/>
    <s v="Coffee"/>
    <n v="1"/>
    <n v="12"/>
    <s v="E-Wallet"/>
    <s v="Takeaway"/>
    <n v="12"/>
  </r>
  <r>
    <s v="2026-08-03"/>
    <n v="2026"/>
    <x v="0"/>
    <s v="Monday"/>
    <s v="15:23:00"/>
    <n v="15"/>
    <x v="4"/>
    <s v="Coffee"/>
    <n v="1"/>
    <n v="13"/>
    <s v="E-Wallet"/>
    <s v="Takeaway"/>
    <n v="13"/>
  </r>
  <r>
    <s v="2026-08-03"/>
    <n v="2026"/>
    <x v="0"/>
    <s v="Monday"/>
    <s v="16:46:00"/>
    <n v="16"/>
    <x v="4"/>
    <s v="Coffee"/>
    <n v="1"/>
    <n v="13"/>
    <s v="E-Wallet"/>
    <s v="Takeaway"/>
    <n v="13"/>
  </r>
  <r>
    <s v="2026-08-03"/>
    <n v="2026"/>
    <x v="0"/>
    <s v="Monday"/>
    <s v="16:55:00"/>
    <n v="16"/>
    <x v="10"/>
    <s v="Non-Coffee"/>
    <n v="2"/>
    <n v="12"/>
    <s v="Card"/>
    <s v="Dine-In"/>
    <n v="24"/>
  </r>
  <r>
    <s v="2026-08-03"/>
    <n v="2026"/>
    <x v="0"/>
    <s v="Monday"/>
    <s v="17:55:00"/>
    <n v="17"/>
    <x v="4"/>
    <s v="Coffee"/>
    <n v="1"/>
    <n v="13"/>
    <s v="Cash"/>
    <s v="Takeaway"/>
    <n v="13"/>
  </r>
  <r>
    <s v="2026-08-03"/>
    <n v="2026"/>
    <x v="0"/>
    <s v="Monday"/>
    <s v="18:30:00"/>
    <n v="18"/>
    <x v="4"/>
    <s v="Coffee"/>
    <n v="1"/>
    <n v="13"/>
    <s v="Cash"/>
    <s v="Dine-In"/>
    <n v="13"/>
  </r>
  <r>
    <s v="2026-08-04"/>
    <n v="2026"/>
    <x v="0"/>
    <s v="Tuesday"/>
    <s v="09:11:00"/>
    <n v="9"/>
    <x v="1"/>
    <s v="Coffee"/>
    <n v="1"/>
    <n v="12"/>
    <s v="E-Wallet"/>
    <s v="Dine-In"/>
    <n v="12"/>
  </r>
  <r>
    <s v="2026-08-04"/>
    <n v="2026"/>
    <x v="0"/>
    <s v="Tuesday"/>
    <s v="10:31:00"/>
    <n v="10"/>
    <x v="11"/>
    <s v="Dessert"/>
    <n v="3"/>
    <n v="16"/>
    <s v="Cash"/>
    <s v="Dine-In"/>
    <n v="48"/>
  </r>
  <r>
    <s v="2026-08-04"/>
    <n v="2026"/>
    <x v="0"/>
    <s v="Tuesday"/>
    <s v="11:17:00"/>
    <n v="11"/>
    <x v="6"/>
    <s v="Coffee"/>
    <n v="1"/>
    <n v="7"/>
    <s v="E-Wallet"/>
    <s v="Dine-In"/>
    <n v="7"/>
  </r>
  <r>
    <s v="2026-08-04"/>
    <n v="2026"/>
    <x v="0"/>
    <s v="Tuesday"/>
    <s v="11:48:00"/>
    <n v="11"/>
    <x v="10"/>
    <s v="Non-Coffee"/>
    <n v="1"/>
    <n v="12"/>
    <s v="E-Wallet"/>
    <s v="Dine-In"/>
    <n v="12"/>
  </r>
  <r>
    <s v="2026-08-04"/>
    <n v="2026"/>
    <x v="0"/>
    <s v="Tuesday"/>
    <s v="12:36:00"/>
    <n v="12"/>
    <x v="6"/>
    <s v="Coffee"/>
    <n v="1"/>
    <n v="7"/>
    <s v="Card"/>
    <s v="Dine-In"/>
    <n v="7"/>
  </r>
  <r>
    <s v="2026-08-04"/>
    <n v="2026"/>
    <x v="0"/>
    <s v="Tuesday"/>
    <s v="14:06:00"/>
    <n v="14"/>
    <x v="3"/>
    <s v="Pastry"/>
    <n v="1"/>
    <n v="9"/>
    <s v="E-Wallet"/>
    <s v="Dine-In"/>
    <n v="9"/>
  </r>
  <r>
    <s v="2026-08-04"/>
    <n v="2026"/>
    <x v="0"/>
    <s v="Tuesday"/>
    <s v="15:01:00"/>
    <n v="15"/>
    <x v="3"/>
    <s v="Pastry"/>
    <n v="1"/>
    <n v="9"/>
    <s v="Cash"/>
    <s v="Dine-In"/>
    <n v="9"/>
  </r>
  <r>
    <s v="2026-08-04"/>
    <n v="2026"/>
    <x v="0"/>
    <s v="Tuesday"/>
    <s v="15:14:00"/>
    <n v="15"/>
    <x v="5"/>
    <s v="Coffee"/>
    <n v="1"/>
    <n v="9"/>
    <s v="Cash"/>
    <s v="Takeaway"/>
    <n v="9"/>
  </r>
  <r>
    <s v="2026-08-04"/>
    <n v="2026"/>
    <x v="0"/>
    <s v="Tuesday"/>
    <s v="16:01:00"/>
    <n v="16"/>
    <x v="6"/>
    <s v="Coffee"/>
    <n v="1"/>
    <n v="7"/>
    <s v="E-Wallet"/>
    <s v="Takeaway"/>
    <n v="7"/>
  </r>
  <r>
    <s v="2026-08-04"/>
    <n v="2026"/>
    <x v="0"/>
    <s v="Tuesday"/>
    <s v="16:51:00"/>
    <n v="16"/>
    <x v="10"/>
    <s v="Non-Coffee"/>
    <n v="2"/>
    <n v="12"/>
    <s v="E-Wallet"/>
    <s v="Dine-In"/>
    <n v="24"/>
  </r>
  <r>
    <s v="2026-08-04"/>
    <n v="2026"/>
    <x v="0"/>
    <s v="Tuesday"/>
    <s v="18:38:00"/>
    <n v="18"/>
    <x v="1"/>
    <s v="Coffee"/>
    <n v="1"/>
    <n v="12"/>
    <s v="Card"/>
    <s v="Takeaway"/>
    <n v="12"/>
  </r>
  <r>
    <s v="2026-08-04"/>
    <n v="2026"/>
    <x v="0"/>
    <s v="Tuesday"/>
    <s v="18:54:00"/>
    <n v="18"/>
    <x v="6"/>
    <s v="Coffee"/>
    <n v="1"/>
    <n v="7"/>
    <s v="Card"/>
    <s v="Takeaway"/>
    <n v="7"/>
  </r>
  <r>
    <s v="2026-08-04"/>
    <n v="2026"/>
    <x v="0"/>
    <s v="Tuesday"/>
    <s v="19:47:00"/>
    <n v="19"/>
    <x v="1"/>
    <s v="Coffee"/>
    <n v="1"/>
    <n v="12"/>
    <s v="Cash"/>
    <s v="Dine-In"/>
    <n v="12"/>
  </r>
  <r>
    <s v="2026-08-04"/>
    <n v="2026"/>
    <x v="0"/>
    <s v="Tuesday"/>
    <s v="19:57:00"/>
    <n v="19"/>
    <x v="0"/>
    <s v="Coffee"/>
    <n v="1"/>
    <n v="15"/>
    <s v="Card"/>
    <s v="Takeaway"/>
    <n v="15"/>
  </r>
  <r>
    <s v="2026-08-05"/>
    <n v="2026"/>
    <x v="0"/>
    <s v="Wednesday"/>
    <s v="08:33:00"/>
    <n v="8"/>
    <x v="0"/>
    <s v="Coffee"/>
    <n v="2"/>
    <n v="15"/>
    <s v="E-Wallet"/>
    <s v="Takeaway"/>
    <n v="30"/>
  </r>
  <r>
    <s v="2026-08-05"/>
    <n v="2026"/>
    <x v="0"/>
    <s v="Wednesday"/>
    <s v="10:14:00"/>
    <n v="10"/>
    <x v="4"/>
    <s v="Coffee"/>
    <n v="2"/>
    <n v="13"/>
    <s v="Card"/>
    <s v="Takeaway"/>
    <n v="26"/>
  </r>
  <r>
    <s v="2026-08-05"/>
    <n v="2026"/>
    <x v="0"/>
    <s v="Wednesday"/>
    <s v="11:26:00"/>
    <n v="11"/>
    <x v="4"/>
    <s v="Pastry"/>
    <n v="1"/>
    <n v="8"/>
    <s v="E-Wallet"/>
    <s v="Dine-In"/>
    <n v="8"/>
  </r>
  <r>
    <s v="2026-08-05"/>
    <n v="2026"/>
    <x v="0"/>
    <s v="Wednesday"/>
    <s v="11:32:00"/>
    <n v="11"/>
    <x v="3"/>
    <s v="Pastry"/>
    <n v="1"/>
    <n v="9"/>
    <s v="E-Wallet"/>
    <s v="Takeaway"/>
    <n v="9"/>
  </r>
  <r>
    <s v="2026-08-05"/>
    <n v="2026"/>
    <x v="0"/>
    <s v="Wednesday"/>
    <s v="13:21:00"/>
    <n v="13"/>
    <x v="2"/>
    <s v="Non-Coffee"/>
    <n v="2"/>
    <n v="14"/>
    <s v="E-Wallet"/>
    <s v="Takeaway"/>
    <n v="28"/>
  </r>
  <r>
    <s v="2026-08-05"/>
    <n v="2026"/>
    <x v="0"/>
    <s v="Wednesday"/>
    <s v="13:58:00"/>
    <n v="13"/>
    <x v="5"/>
    <s v="Coffee"/>
    <n v="1"/>
    <n v="9"/>
    <s v="Card"/>
    <s v="Takeaway"/>
    <n v="9"/>
  </r>
  <r>
    <s v="2026-08-05"/>
    <n v="2026"/>
    <x v="0"/>
    <s v="Wednesday"/>
    <s v="14:11:00"/>
    <n v="14"/>
    <x v="9"/>
    <s v="Coffee"/>
    <n v="2"/>
    <n v="14"/>
    <s v="Card"/>
    <s v="Takeaway"/>
    <n v="28"/>
  </r>
  <r>
    <s v="2026-08-05"/>
    <n v="2026"/>
    <x v="0"/>
    <s v="Wednesday"/>
    <s v="14:36:00"/>
    <n v="14"/>
    <x v="9"/>
    <s v="Coffee"/>
    <n v="1"/>
    <n v="14"/>
    <s v="E-Wallet"/>
    <s v="Takeaway"/>
    <n v="14"/>
  </r>
  <r>
    <s v="2026-08-05"/>
    <n v="2026"/>
    <x v="0"/>
    <s v="Wednesday"/>
    <s v="14:59:00"/>
    <n v="14"/>
    <x v="8"/>
    <s v="Dessert"/>
    <n v="1"/>
    <n v="10"/>
    <s v="Card"/>
    <s v="Takeaway"/>
    <n v="10"/>
  </r>
  <r>
    <s v="2026-08-05"/>
    <n v="2026"/>
    <x v="0"/>
    <s v="Wednesday"/>
    <s v="16:10:00"/>
    <n v="16"/>
    <x v="1"/>
    <s v="Coffee"/>
    <n v="1"/>
    <n v="12"/>
    <s v="E-Wallet"/>
    <s v="Takeaway"/>
    <n v="12"/>
  </r>
  <r>
    <s v="2026-08-05"/>
    <n v="2026"/>
    <x v="0"/>
    <s v="Wednesday"/>
    <s v="16:39:00"/>
    <n v="16"/>
    <x v="1"/>
    <s v="Coffee"/>
    <n v="1"/>
    <n v="12"/>
    <s v="E-Wallet"/>
    <s v="Dine-In"/>
    <n v="12"/>
  </r>
  <r>
    <s v="2026-08-05"/>
    <n v="2026"/>
    <x v="0"/>
    <s v="Wednesday"/>
    <s v="17:03:00"/>
    <n v="17"/>
    <x v="6"/>
    <s v="Coffee"/>
    <n v="1"/>
    <n v="7"/>
    <s v="Card"/>
    <s v="Dine-In"/>
    <n v="7"/>
  </r>
  <r>
    <s v="2026-08-06"/>
    <n v="2026"/>
    <x v="0"/>
    <s v="Thursday"/>
    <s v="08:21:00"/>
    <n v="8"/>
    <x v="4"/>
    <s v="Coffee"/>
    <n v="1"/>
    <n v="13"/>
    <s v="E-Wallet"/>
    <s v="Takeaway"/>
    <n v="13"/>
  </r>
  <r>
    <s v="2026-08-06"/>
    <n v="2026"/>
    <x v="0"/>
    <s v="Thursday"/>
    <s v="08:34:00"/>
    <n v="8"/>
    <x v="4"/>
    <s v="Coffee"/>
    <n v="1"/>
    <n v="13"/>
    <s v="Card"/>
    <s v="Takeaway"/>
    <n v="13"/>
  </r>
  <r>
    <s v="2026-08-06"/>
    <n v="2026"/>
    <x v="0"/>
    <s v="Thursday"/>
    <s v="09:20:00"/>
    <n v="9"/>
    <x v="4"/>
    <s v="Coffee"/>
    <n v="1"/>
    <n v="13"/>
    <s v="Card"/>
    <s v="Takeaway"/>
    <n v="13"/>
  </r>
  <r>
    <s v="2026-08-06"/>
    <n v="2026"/>
    <x v="0"/>
    <s v="Thursday"/>
    <s v="10:20:00"/>
    <n v="10"/>
    <x v="9"/>
    <s v="Coffee"/>
    <n v="2"/>
    <n v="14"/>
    <s v="E-Wallet"/>
    <s v="Takeaway"/>
    <n v="28"/>
  </r>
  <r>
    <s v="2026-08-06"/>
    <n v="2026"/>
    <x v="0"/>
    <s v="Thursday"/>
    <s v="11:23:00"/>
    <n v="11"/>
    <x v="11"/>
    <s v="Dessert"/>
    <n v="1"/>
    <n v="16"/>
    <s v="Cash"/>
    <s v="Takeaway"/>
    <n v="16"/>
  </r>
  <r>
    <s v="2026-08-06"/>
    <n v="2026"/>
    <x v="0"/>
    <s v="Thursday"/>
    <s v="12:11:00"/>
    <n v="12"/>
    <x v="1"/>
    <s v="Coffee"/>
    <n v="3"/>
    <n v="12"/>
    <s v="E-Wallet"/>
    <s v="Takeaway"/>
    <n v="36"/>
  </r>
  <r>
    <s v="2026-08-06"/>
    <n v="2026"/>
    <x v="0"/>
    <s v="Thursday"/>
    <s v="13:12:00"/>
    <n v="13"/>
    <x v="1"/>
    <s v="Coffee"/>
    <n v="1"/>
    <n v="12"/>
    <s v="Card"/>
    <s v="Takeaway"/>
    <n v="12"/>
  </r>
  <r>
    <s v="2026-08-06"/>
    <n v="2026"/>
    <x v="0"/>
    <s v="Thursday"/>
    <s v="13:24:00"/>
    <n v="13"/>
    <x v="1"/>
    <s v="Coffee"/>
    <n v="1"/>
    <n v="12"/>
    <s v="Card"/>
    <s v="Takeaway"/>
    <n v="12"/>
  </r>
  <r>
    <s v="2026-08-06"/>
    <n v="2026"/>
    <x v="0"/>
    <s v="Thursday"/>
    <s v="15:01:00"/>
    <n v="15"/>
    <x v="9"/>
    <s v="Coffee"/>
    <n v="1"/>
    <n v="14"/>
    <s v="Cash"/>
    <s v="Dine-In"/>
    <n v="14"/>
  </r>
  <r>
    <s v="2026-08-06"/>
    <n v="2026"/>
    <x v="0"/>
    <s v="Thursday"/>
    <s v="15:17:00"/>
    <n v="15"/>
    <x v="1"/>
    <s v="Coffee"/>
    <n v="1"/>
    <n v="12"/>
    <s v="Cash"/>
    <s v="Dine-In"/>
    <n v="12"/>
  </r>
  <r>
    <s v="2026-08-06"/>
    <n v="2026"/>
    <x v="0"/>
    <s v="Thursday"/>
    <s v="15:39:00"/>
    <n v="15"/>
    <x v="6"/>
    <s v="Coffee"/>
    <n v="3"/>
    <n v="7"/>
    <s v="E-Wallet"/>
    <s v="Dine-In"/>
    <n v="21"/>
  </r>
  <r>
    <s v="2026-08-06"/>
    <n v="2026"/>
    <x v="0"/>
    <s v="Thursday"/>
    <s v="15:50:00"/>
    <n v="15"/>
    <x v="3"/>
    <s v="Pastry"/>
    <n v="1"/>
    <n v="9"/>
    <s v="Cash"/>
    <s v="Dine-In"/>
    <n v="9"/>
  </r>
  <r>
    <s v="2026-08-06"/>
    <n v="2026"/>
    <x v="0"/>
    <s v="Thursday"/>
    <s v="16:45:00"/>
    <n v="16"/>
    <x v="5"/>
    <s v="Coffee"/>
    <n v="1"/>
    <n v="9"/>
    <s v="Card"/>
    <s v="Dine-In"/>
    <n v="9"/>
  </r>
  <r>
    <s v="2026-08-06"/>
    <n v="2026"/>
    <x v="0"/>
    <s v="Thursday"/>
    <s v="17:35:00"/>
    <n v="17"/>
    <x v="3"/>
    <s v="Pastry"/>
    <n v="1"/>
    <n v="9"/>
    <s v="E-Wallet"/>
    <s v="Takeaway"/>
    <n v="9"/>
  </r>
  <r>
    <s v="2026-08-06"/>
    <n v="2026"/>
    <x v="0"/>
    <s v="Thursday"/>
    <s v="17:54:00"/>
    <n v="17"/>
    <x v="1"/>
    <s v="Coffee"/>
    <n v="1"/>
    <n v="12"/>
    <s v="Card"/>
    <s v="Dine-In"/>
    <n v="12"/>
  </r>
  <r>
    <s v="2026-08-07"/>
    <n v="2026"/>
    <x v="0"/>
    <s v="Friday"/>
    <s v="08:26:00"/>
    <n v="8"/>
    <x v="1"/>
    <s v="Coffee"/>
    <n v="2"/>
    <n v="12"/>
    <s v="E-Wallet"/>
    <s v="Takeaway"/>
    <n v="24"/>
  </r>
  <r>
    <s v="2026-08-07"/>
    <n v="2026"/>
    <x v="0"/>
    <s v="Friday"/>
    <s v="10:51:00"/>
    <n v="10"/>
    <x v="4"/>
    <s v="Coffee"/>
    <n v="1"/>
    <n v="13"/>
    <s v="Card"/>
    <s v="Dine-In"/>
    <n v="13"/>
  </r>
  <r>
    <s v="2026-08-07"/>
    <n v="2026"/>
    <x v="0"/>
    <s v="Friday"/>
    <s v="11:57:00"/>
    <n v="11"/>
    <x v="7"/>
    <s v="Pastry"/>
    <n v="1"/>
    <n v="8"/>
    <s v="E-Wallet"/>
    <s v="Dine-In"/>
    <n v="8"/>
  </r>
  <r>
    <s v="2026-08-07"/>
    <n v="2026"/>
    <x v="0"/>
    <s v="Friday"/>
    <s v="13:20:00"/>
    <n v="13"/>
    <x v="6"/>
    <s v="Coffee"/>
    <n v="2"/>
    <n v="7"/>
    <s v="Cash"/>
    <s v="Takeaway"/>
    <n v="14"/>
  </r>
  <r>
    <s v="2026-08-07"/>
    <n v="2026"/>
    <x v="0"/>
    <s v="Friday"/>
    <s v="13:31:00"/>
    <n v="13"/>
    <x v="9"/>
    <s v="Coffee"/>
    <n v="3"/>
    <n v="14"/>
    <s v="Card"/>
    <s v="Dine-In"/>
    <n v="42"/>
  </r>
  <r>
    <s v="2026-08-07"/>
    <n v="2026"/>
    <x v="0"/>
    <s v="Friday"/>
    <s v="13:58:00"/>
    <n v="13"/>
    <x v="7"/>
    <s v="Pastry"/>
    <n v="1"/>
    <n v="8"/>
    <s v="E-Wallet"/>
    <s v="Dine-In"/>
    <n v="8"/>
  </r>
  <r>
    <s v="2026-08-07"/>
    <n v="2026"/>
    <x v="0"/>
    <s v="Friday"/>
    <s v="15:03:00"/>
    <n v="15"/>
    <x v="5"/>
    <s v="Coffee"/>
    <n v="2"/>
    <n v="9"/>
    <s v="Card"/>
    <s v="Dine-In"/>
    <n v="18"/>
  </r>
  <r>
    <s v="2026-08-07"/>
    <n v="2026"/>
    <x v="0"/>
    <s v="Friday"/>
    <s v="16:46:00"/>
    <n v="16"/>
    <x v="4"/>
    <s v="Coffee"/>
    <n v="2"/>
    <n v="13"/>
    <s v="E-Wallet"/>
    <s v="Takeaway"/>
    <n v="26"/>
  </r>
  <r>
    <s v="2026-08-07"/>
    <n v="2026"/>
    <x v="0"/>
    <s v="Friday"/>
    <s v="18:09:00"/>
    <n v="18"/>
    <x v="0"/>
    <s v="Coffee"/>
    <n v="2"/>
    <n v="15"/>
    <s v="Cash"/>
    <s v="Takeaway"/>
    <n v="30"/>
  </r>
  <r>
    <s v="2026-08-08"/>
    <n v="2026"/>
    <x v="0"/>
    <s v="Saturday"/>
    <s v="08:29:00"/>
    <n v="8"/>
    <x v="1"/>
    <s v="Coffee"/>
    <n v="2"/>
    <n v="12"/>
    <s v="E-Wallet"/>
    <s v="Dine-In"/>
    <n v="24"/>
  </r>
  <r>
    <s v="2026-08-08"/>
    <n v="2026"/>
    <x v="0"/>
    <s v="Saturday"/>
    <s v="10:11:00"/>
    <n v="10"/>
    <x v="0"/>
    <s v="Coffee"/>
    <n v="1"/>
    <n v="15"/>
    <s v="E-Wallet"/>
    <s v="Takeaway"/>
    <n v="15"/>
  </r>
  <r>
    <s v="2026-08-08"/>
    <n v="2026"/>
    <x v="0"/>
    <s v="Saturday"/>
    <s v="10:46:00"/>
    <n v="10"/>
    <x v="7"/>
    <s v="Pastry"/>
    <n v="1"/>
    <n v="8"/>
    <s v="E-Wallet"/>
    <s v="Takeaway"/>
    <n v="8"/>
  </r>
  <r>
    <s v="2026-08-08"/>
    <n v="2026"/>
    <x v="0"/>
    <s v="Saturday"/>
    <s v="11:17:00"/>
    <n v="11"/>
    <x v="7"/>
    <s v="Pastry"/>
    <n v="1"/>
    <n v="8"/>
    <s v="Cash"/>
    <s v="Dine-In"/>
    <n v="8"/>
  </r>
  <r>
    <s v="2026-08-08"/>
    <n v="2026"/>
    <x v="0"/>
    <s v="Saturday"/>
    <s v="11:49:00"/>
    <n v="11"/>
    <x v="4"/>
    <s v="Coffee"/>
    <n v="2"/>
    <n v="13"/>
    <s v="E-Wallet"/>
    <s v="Dine-In"/>
    <n v="26"/>
  </r>
  <r>
    <s v="2026-08-08"/>
    <n v="2026"/>
    <x v="0"/>
    <s v="Saturday"/>
    <s v="11:54:00"/>
    <n v="11"/>
    <x v="3"/>
    <s v="Pastry"/>
    <n v="1"/>
    <n v="9"/>
    <s v="Card"/>
    <s v="Takeaway"/>
    <n v="9"/>
  </r>
  <r>
    <s v="2026-08-08"/>
    <n v="2026"/>
    <x v="0"/>
    <s v="Saturday"/>
    <s v="16:14:00"/>
    <n v="16"/>
    <x v="11"/>
    <s v="Dessert"/>
    <n v="2"/>
    <n v="16"/>
    <s v="E-Wallet"/>
    <s v="Takeaway"/>
    <n v="32"/>
  </r>
  <r>
    <s v="2026-08-08"/>
    <n v="2026"/>
    <x v="0"/>
    <s v="Saturday"/>
    <s v="18:54:00"/>
    <n v="18"/>
    <x v="6"/>
    <s v="Coffee"/>
    <n v="1"/>
    <n v="7"/>
    <s v="Card"/>
    <s v="Dine-In"/>
    <n v="7"/>
  </r>
  <r>
    <s v="2026-08-08"/>
    <n v="2026"/>
    <x v="0"/>
    <s v="Saturday"/>
    <s v="19:23:00"/>
    <n v="19"/>
    <x v="3"/>
    <s v="Pastry"/>
    <n v="1"/>
    <n v="9"/>
    <s v="Cash"/>
    <s v="Takeaway"/>
    <n v="9"/>
  </r>
  <r>
    <s v="2026-08-09"/>
    <n v="2026"/>
    <x v="0"/>
    <s v="Sunday"/>
    <s v="09:07:00"/>
    <n v="9"/>
    <x v="4"/>
    <s v="Coffee"/>
    <n v="1"/>
    <n v="13"/>
    <s v="E-Wallet"/>
    <s v="Dine-In"/>
    <n v="13"/>
  </r>
  <r>
    <s v="2026-08-09"/>
    <n v="2026"/>
    <x v="0"/>
    <s v="Sunday"/>
    <s v="09:42:00"/>
    <n v="9"/>
    <x v="1"/>
    <s v="Coffee"/>
    <n v="2"/>
    <n v="12"/>
    <s v="Cash"/>
    <s v="Takeaway"/>
    <n v="24"/>
  </r>
  <r>
    <s v="2026-08-09"/>
    <n v="2026"/>
    <x v="0"/>
    <s v="Sunday"/>
    <s v="10:40:00"/>
    <n v="10"/>
    <x v="4"/>
    <s v="Coffee"/>
    <n v="1"/>
    <n v="13"/>
    <s v="Cash"/>
    <s v="Takeaway"/>
    <n v="13"/>
  </r>
  <r>
    <s v="2026-08-09"/>
    <n v="2026"/>
    <x v="0"/>
    <s v="Sunday"/>
    <s v="12:25:00"/>
    <n v="12"/>
    <x v="10"/>
    <s v="Non-Coffee"/>
    <n v="1"/>
    <n v="12"/>
    <s v="E-Wallet"/>
    <s v="Dine-In"/>
    <n v="12"/>
  </r>
  <r>
    <s v="2026-08-09"/>
    <n v="2026"/>
    <x v="0"/>
    <s v="Sunday"/>
    <s v="12:27:00"/>
    <n v="12"/>
    <x v="6"/>
    <s v="Coffee"/>
    <n v="1"/>
    <n v="7"/>
    <s v="Cash"/>
    <s v="Dine-In"/>
    <n v="7"/>
  </r>
  <r>
    <s v="2026-08-09"/>
    <n v="2026"/>
    <x v="0"/>
    <s v="Sunday"/>
    <s v="14:07:00"/>
    <n v="14"/>
    <x v="9"/>
    <s v="Coffee"/>
    <n v="1"/>
    <n v="14"/>
    <s v="Card"/>
    <s v="Dine-In"/>
    <n v="14"/>
  </r>
  <r>
    <s v="2026-08-09"/>
    <n v="2026"/>
    <x v="0"/>
    <s v="Sunday"/>
    <s v="14:43:00"/>
    <n v="14"/>
    <x v="4"/>
    <s v="Coffee"/>
    <n v="2"/>
    <n v="13"/>
    <s v="Cash"/>
    <s v="Dine-In"/>
    <n v="26"/>
  </r>
  <r>
    <s v="2026-08-09"/>
    <n v="2026"/>
    <x v="0"/>
    <s v="Sunday"/>
    <s v="15:33:00"/>
    <n v="15"/>
    <x v="2"/>
    <s v="Non-Coffee"/>
    <n v="2"/>
    <n v="14"/>
    <s v="E-Wallet"/>
    <s v="Dine-In"/>
    <n v="28"/>
  </r>
  <r>
    <s v="2026-08-09"/>
    <n v="2026"/>
    <x v="0"/>
    <s v="Sunday"/>
    <s v="17:04:00"/>
    <n v="17"/>
    <x v="3"/>
    <s v="Pastry"/>
    <n v="2"/>
    <n v="9"/>
    <s v="Card"/>
    <s v="Takeaway"/>
    <n v="18"/>
  </r>
  <r>
    <s v="2026-08-10"/>
    <n v="2026"/>
    <x v="0"/>
    <s v="Monday"/>
    <s v="08:40:00"/>
    <n v="8"/>
    <x v="4"/>
    <s v="Coffee"/>
    <n v="2"/>
    <n v="13"/>
    <s v="Card"/>
    <s v="Takeaway"/>
    <n v="26"/>
  </r>
  <r>
    <s v="2026-08-10"/>
    <n v="2026"/>
    <x v="0"/>
    <s v="Monday"/>
    <s v="09:05:00"/>
    <n v="9"/>
    <x v="8"/>
    <s v="Dessert"/>
    <n v="1"/>
    <n v="10"/>
    <s v="Cash"/>
    <s v="Takeaway"/>
    <n v="10"/>
  </r>
  <r>
    <s v="2026-08-10"/>
    <n v="2026"/>
    <x v="0"/>
    <s v="Monday"/>
    <s v="09:39:00"/>
    <n v="9"/>
    <x v="11"/>
    <s v="Dessert"/>
    <n v="3"/>
    <n v="16"/>
    <s v="Cash"/>
    <s v="Takeaway"/>
    <n v="48"/>
  </r>
  <r>
    <s v="2026-08-10"/>
    <n v="2026"/>
    <x v="0"/>
    <s v="Monday"/>
    <s v="10:07:00"/>
    <n v="10"/>
    <x v="2"/>
    <s v="Non-Coffee"/>
    <n v="2"/>
    <n v="14"/>
    <s v="Cash"/>
    <s v="Dine-In"/>
    <n v="28"/>
  </r>
  <r>
    <s v="2026-08-10"/>
    <n v="2026"/>
    <x v="0"/>
    <s v="Monday"/>
    <s v="10:16:00"/>
    <n v="10"/>
    <x v="0"/>
    <s v="Coffee"/>
    <n v="1"/>
    <n v="15"/>
    <s v="Card"/>
    <s v="Takeaway"/>
    <n v="15"/>
  </r>
  <r>
    <s v="2026-08-10"/>
    <n v="2026"/>
    <x v="0"/>
    <s v="Monday"/>
    <s v="11:37:00"/>
    <n v="11"/>
    <x v="7"/>
    <s v="Pastry"/>
    <n v="1"/>
    <n v="8"/>
    <s v="Cash"/>
    <s v="Dine-In"/>
    <n v="8"/>
  </r>
  <r>
    <s v="2026-08-10"/>
    <n v="2026"/>
    <x v="0"/>
    <s v="Monday"/>
    <s v="11:38:00"/>
    <n v="11"/>
    <x v="3"/>
    <s v="Pastry"/>
    <n v="1"/>
    <n v="9"/>
    <s v="Card"/>
    <s v="Takeaway"/>
    <n v="9"/>
  </r>
  <r>
    <s v="2026-08-10"/>
    <n v="2026"/>
    <x v="0"/>
    <s v="Monday"/>
    <s v="13:01:00"/>
    <n v="13"/>
    <x v="4"/>
    <s v="Coffee"/>
    <n v="3"/>
    <n v="13"/>
    <s v="Card"/>
    <s v="Dine-In"/>
    <n v="39"/>
  </r>
  <r>
    <s v="2026-08-10"/>
    <n v="2026"/>
    <x v="0"/>
    <s v="Monday"/>
    <s v="14:04:00"/>
    <n v="14"/>
    <x v="1"/>
    <s v="Coffee"/>
    <n v="1"/>
    <n v="12"/>
    <s v="Cash"/>
    <s v="Takeaway"/>
    <n v="12"/>
  </r>
  <r>
    <s v="2026-08-10"/>
    <n v="2026"/>
    <x v="0"/>
    <s v="Monday"/>
    <s v="14:13:00"/>
    <n v="14"/>
    <x v="9"/>
    <s v="Coffee"/>
    <n v="2"/>
    <n v="9"/>
    <s v="E-Wallet"/>
    <s v="Dine-In"/>
    <n v="18"/>
  </r>
  <r>
    <s v="2026-08-10"/>
    <n v="2026"/>
    <x v="0"/>
    <s v="Monday"/>
    <s v="15:36:00"/>
    <n v="15"/>
    <x v="4"/>
    <s v="Coffee"/>
    <n v="1"/>
    <n v="13"/>
    <s v="E-Wallet"/>
    <s v="Dine-In"/>
    <n v="13"/>
  </r>
  <r>
    <s v="2026-08-10"/>
    <n v="2026"/>
    <x v="0"/>
    <s v="Monday"/>
    <s v="16:00:00"/>
    <n v="16"/>
    <x v="1"/>
    <s v="Coffee"/>
    <n v="2"/>
    <n v="12"/>
    <s v="E-Wallet"/>
    <s v="Takeaway"/>
    <n v="24"/>
  </r>
  <r>
    <s v="2026-08-10"/>
    <n v="2026"/>
    <x v="0"/>
    <s v="Monday"/>
    <s v="16:10:00"/>
    <n v="16"/>
    <x v="5"/>
    <s v="Coffee"/>
    <n v="1"/>
    <n v="9"/>
    <s v="Card"/>
    <s v="Dine-In"/>
    <n v="9"/>
  </r>
  <r>
    <s v="2026-08-10"/>
    <n v="2026"/>
    <x v="0"/>
    <s v="Monday"/>
    <s v="16:29:00"/>
    <n v="16"/>
    <x v="9"/>
    <s v="Coffee"/>
    <n v="1"/>
    <n v="14"/>
    <s v="Cash"/>
    <s v="Takeaway"/>
    <n v="14"/>
  </r>
  <r>
    <s v="2026-08-10"/>
    <n v="2026"/>
    <x v="0"/>
    <s v="Monday"/>
    <s v="16:48:00"/>
    <n v="16"/>
    <x v="11"/>
    <s v="Dessert"/>
    <n v="1"/>
    <n v="16"/>
    <s v="E-Wallet"/>
    <s v="Dine-In"/>
    <n v="16"/>
  </r>
  <r>
    <s v="2026-08-10"/>
    <n v="2026"/>
    <x v="0"/>
    <s v="Monday"/>
    <s v="16:54:00"/>
    <n v="16"/>
    <x v="4"/>
    <s v="Coffee"/>
    <n v="1"/>
    <n v="13"/>
    <s v="E-Wallet"/>
    <s v="Dine-In"/>
    <n v="13"/>
  </r>
  <r>
    <s v="2026-08-10"/>
    <n v="2026"/>
    <x v="0"/>
    <s v="Monday"/>
    <s v="17:22:00"/>
    <n v="17"/>
    <x v="4"/>
    <s v="Coffee"/>
    <n v="1"/>
    <n v="13"/>
    <s v="E-Wallet"/>
    <s v="Dine-In"/>
    <n v="13"/>
  </r>
  <r>
    <s v="2026-08-11"/>
    <n v="2026"/>
    <x v="0"/>
    <s v="Tuesday"/>
    <s v="08:32:00"/>
    <n v="8"/>
    <x v="8"/>
    <s v="Dessert"/>
    <n v="2"/>
    <n v="10"/>
    <s v="E-Wallet"/>
    <s v="Dine-In"/>
    <n v="20"/>
  </r>
  <r>
    <s v="2026-08-11"/>
    <n v="2026"/>
    <x v="0"/>
    <s v="Tuesday"/>
    <s v="08:47:00"/>
    <n v="8"/>
    <x v="3"/>
    <s v="Pastry"/>
    <n v="3"/>
    <n v="9"/>
    <s v="E-Wallet"/>
    <s v="Takeaway"/>
    <n v="27"/>
  </r>
  <r>
    <s v="2026-08-11"/>
    <n v="2026"/>
    <x v="0"/>
    <s v="Tuesday"/>
    <s v="09:02:00"/>
    <n v="9"/>
    <x v="6"/>
    <s v="Coffee"/>
    <n v="1"/>
    <n v="7"/>
    <s v="Cash"/>
    <s v="Takeaway"/>
    <n v="7"/>
  </r>
  <r>
    <s v="2026-08-11"/>
    <n v="2026"/>
    <x v="0"/>
    <s v="Tuesday"/>
    <s v="09:17:00"/>
    <n v="9"/>
    <x v="4"/>
    <s v="Coffee"/>
    <n v="2"/>
    <n v="13"/>
    <s v="Card"/>
    <s v="Dine-In"/>
    <n v="26"/>
  </r>
  <r>
    <s v="2026-08-11"/>
    <n v="2026"/>
    <x v="0"/>
    <s v="Tuesday"/>
    <s v="09:26:00"/>
    <n v="9"/>
    <x v="6"/>
    <s v="Coffee"/>
    <n v="1"/>
    <n v="7"/>
    <s v="E-Wallet"/>
    <s v="Dine-In"/>
    <n v="7"/>
  </r>
  <r>
    <s v="2026-08-11"/>
    <n v="2026"/>
    <x v="0"/>
    <s v="Tuesday"/>
    <s v="09:31:00"/>
    <n v="9"/>
    <x v="11"/>
    <s v="Dessert"/>
    <n v="1"/>
    <n v="16"/>
    <s v="E-Wallet"/>
    <s v="Dine-In"/>
    <n v="16"/>
  </r>
  <r>
    <s v="2026-08-11"/>
    <n v="2026"/>
    <x v="0"/>
    <s v="Tuesday"/>
    <s v="09:45:00"/>
    <n v="9"/>
    <x v="5"/>
    <s v="Coffee"/>
    <n v="1"/>
    <n v="9"/>
    <s v="Card"/>
    <s v="Dine-In"/>
    <n v="9"/>
  </r>
  <r>
    <s v="2026-08-11"/>
    <n v="2026"/>
    <x v="0"/>
    <s v="Tuesday"/>
    <s v="11:52:00"/>
    <n v="11"/>
    <x v="7"/>
    <s v="Pastry"/>
    <n v="2"/>
    <n v="8"/>
    <s v="Card"/>
    <s v="Dine-In"/>
    <n v="16"/>
  </r>
  <r>
    <s v="2026-08-11"/>
    <n v="2026"/>
    <x v="0"/>
    <s v="Tuesday"/>
    <s v="12:27:00"/>
    <n v="12"/>
    <x v="1"/>
    <s v="Coffee"/>
    <n v="1"/>
    <n v="12"/>
    <s v="Cash"/>
    <s v="Takeaway"/>
    <n v="12"/>
  </r>
  <r>
    <s v="2026-08-11"/>
    <n v="2026"/>
    <x v="0"/>
    <s v="Tuesday"/>
    <s v="12:29:00"/>
    <n v="12"/>
    <x v="4"/>
    <s v="Coffee"/>
    <n v="3"/>
    <n v="13"/>
    <s v="E-Wallet"/>
    <s v="Takeaway"/>
    <n v="39"/>
  </r>
  <r>
    <s v="2026-08-11"/>
    <n v="2026"/>
    <x v="0"/>
    <s v="Tuesday"/>
    <s v="13:02:00"/>
    <n v="13"/>
    <x v="5"/>
    <s v="Coffee"/>
    <n v="2"/>
    <n v="9"/>
    <s v="E-Wallet"/>
    <s v="Takeaway"/>
    <n v="18"/>
  </r>
  <r>
    <s v="2026-08-11"/>
    <n v="2026"/>
    <x v="0"/>
    <s v="Tuesday"/>
    <s v="14:04:00"/>
    <n v="14"/>
    <x v="7"/>
    <s v="Pastry"/>
    <n v="1"/>
    <n v="8"/>
    <s v="E-Wallet"/>
    <s v="Dine-In"/>
    <n v="8"/>
  </r>
  <r>
    <s v="2026-08-11"/>
    <n v="2026"/>
    <x v="0"/>
    <s v="Tuesday"/>
    <s v="14:06:00"/>
    <n v="14"/>
    <x v="8"/>
    <s v="Dessert"/>
    <n v="1"/>
    <n v="10"/>
    <s v="Card"/>
    <s v="Takeaway"/>
    <n v="10"/>
  </r>
  <r>
    <s v="2026-08-11"/>
    <n v="2026"/>
    <x v="0"/>
    <s v="Tuesday"/>
    <s v="14:23:00"/>
    <n v="14"/>
    <x v="5"/>
    <s v="Coffee"/>
    <n v="1"/>
    <n v="9"/>
    <s v="Card"/>
    <s v="Takeaway"/>
    <n v="9"/>
  </r>
  <r>
    <s v="2026-08-11"/>
    <n v="2026"/>
    <x v="0"/>
    <s v="Tuesday"/>
    <s v="15:17:00"/>
    <n v="15"/>
    <x v="4"/>
    <s v="Coffee"/>
    <n v="2"/>
    <n v="13"/>
    <s v="Card"/>
    <s v="Takeaway"/>
    <n v="26"/>
  </r>
  <r>
    <s v="2026-08-11"/>
    <n v="2026"/>
    <x v="0"/>
    <s v="Tuesday"/>
    <s v="15:41:00"/>
    <n v="15"/>
    <x v="1"/>
    <s v="Coffee"/>
    <n v="1"/>
    <n v="12"/>
    <s v="Cash"/>
    <s v="Takeaway"/>
    <n v="12"/>
  </r>
  <r>
    <s v="2026-08-11"/>
    <n v="2026"/>
    <x v="0"/>
    <s v="Tuesday"/>
    <s v="18:50:00"/>
    <n v="18"/>
    <x v="7"/>
    <s v="Pastry"/>
    <n v="1"/>
    <n v="8"/>
    <s v="E-Wallet"/>
    <s v="Dine-In"/>
    <n v="8"/>
  </r>
  <r>
    <s v="2026-08-12"/>
    <n v="2026"/>
    <x v="0"/>
    <s v="Wednesday"/>
    <s v="08:50:00"/>
    <n v="8"/>
    <x v="8"/>
    <s v="Dessert"/>
    <n v="1"/>
    <n v="10"/>
    <s v="E-Wallet"/>
    <s v="Dine-In"/>
    <n v="10"/>
  </r>
  <r>
    <s v="2026-08-12"/>
    <n v="2026"/>
    <x v="0"/>
    <s v="Wednesday"/>
    <s v="10:20:00"/>
    <n v="10"/>
    <x v="11"/>
    <s v="Dessert"/>
    <n v="2"/>
    <n v="16"/>
    <s v="Cash"/>
    <s v="Dine-In"/>
    <n v="32"/>
  </r>
  <r>
    <s v="2026-08-12"/>
    <n v="2026"/>
    <x v="0"/>
    <s v="Wednesday"/>
    <s v="10:46:00"/>
    <n v="10"/>
    <x v="0"/>
    <s v="Coffee"/>
    <n v="2"/>
    <n v="15"/>
    <s v="Cash"/>
    <s v="Takeaway"/>
    <n v="30"/>
  </r>
  <r>
    <s v="2026-08-12"/>
    <n v="2026"/>
    <x v="0"/>
    <s v="Wednesday"/>
    <s v="11:20:00"/>
    <n v="11"/>
    <x v="4"/>
    <s v="Coffee"/>
    <n v="3"/>
    <n v="13"/>
    <s v="Card"/>
    <s v="Takeaway"/>
    <n v="39"/>
  </r>
  <r>
    <s v="2026-08-12"/>
    <n v="2026"/>
    <x v="0"/>
    <s v="Wednesday"/>
    <s v="15:00:00"/>
    <n v="15"/>
    <x v="6"/>
    <s v="Coffee"/>
    <n v="1"/>
    <n v="7"/>
    <s v="Cash"/>
    <s v="Dine-In"/>
    <n v="7"/>
  </r>
  <r>
    <s v="2026-08-12"/>
    <n v="2026"/>
    <x v="0"/>
    <s v="Wednesday"/>
    <s v="15:22:00"/>
    <n v="15"/>
    <x v="4"/>
    <s v="Coffee"/>
    <n v="1"/>
    <n v="13"/>
    <s v="Card"/>
    <s v="Takeaway"/>
    <n v="13"/>
  </r>
  <r>
    <s v="2026-08-12"/>
    <n v="2026"/>
    <x v="0"/>
    <s v="Wednesday"/>
    <s v="16:26:00"/>
    <n v="16"/>
    <x v="1"/>
    <s v="Coffee"/>
    <n v="1"/>
    <n v="9"/>
    <s v="E-Wallet"/>
    <s v="Dine-In"/>
    <n v="9"/>
  </r>
  <r>
    <s v="2026-08-12"/>
    <n v="2026"/>
    <x v="0"/>
    <s v="Wednesday"/>
    <s v="17:46:00"/>
    <n v="17"/>
    <x v="9"/>
    <s v="Coffee"/>
    <n v="2"/>
    <n v="14"/>
    <s v="Card"/>
    <s v="Dine-In"/>
    <n v="28"/>
  </r>
  <r>
    <s v="2026-08-12"/>
    <n v="2026"/>
    <x v="0"/>
    <s v="Wednesday"/>
    <s v="19:08:00"/>
    <n v="19"/>
    <x v="5"/>
    <s v="Coffee"/>
    <n v="1"/>
    <n v="9"/>
    <s v="E-Wallet"/>
    <s v="Takeaway"/>
    <n v="9"/>
  </r>
  <r>
    <s v="2026-08-13"/>
    <n v="2026"/>
    <x v="0"/>
    <s v="Thursday"/>
    <s v="13:01:00"/>
    <n v="13"/>
    <x v="4"/>
    <s v="Coffee"/>
    <n v="1"/>
    <n v="13"/>
    <s v="Card"/>
    <s v="Dine-In"/>
    <n v="13"/>
  </r>
  <r>
    <s v="2026-08-13"/>
    <n v="2026"/>
    <x v="0"/>
    <s v="Thursday"/>
    <s v="13:01:00"/>
    <n v="13"/>
    <x v="1"/>
    <s v="Coffee"/>
    <n v="2"/>
    <n v="12"/>
    <s v="Cash"/>
    <s v="Dine-In"/>
    <n v="24"/>
  </r>
  <r>
    <s v="2026-08-13"/>
    <n v="2026"/>
    <x v="0"/>
    <s v="Thursday"/>
    <s v="15:09:00"/>
    <n v="15"/>
    <x v="3"/>
    <s v="Pastry"/>
    <n v="2"/>
    <n v="9"/>
    <s v="Card"/>
    <s v="Dine-In"/>
    <n v="18"/>
  </r>
  <r>
    <s v="2026-08-13"/>
    <n v="2026"/>
    <x v="0"/>
    <s v="Thursday"/>
    <s v="15:09:00"/>
    <n v="15"/>
    <x v="10"/>
    <s v="Non-Coffee"/>
    <n v="1"/>
    <n v="12"/>
    <s v="Cash"/>
    <s v="Dine-In"/>
    <n v="12"/>
  </r>
  <r>
    <s v="2026-08-13"/>
    <n v="2026"/>
    <x v="0"/>
    <s v="Thursday"/>
    <s v="15:25:00"/>
    <n v="15"/>
    <x v="4"/>
    <s v="Coffee"/>
    <n v="1"/>
    <n v="13"/>
    <s v="Card"/>
    <s v="Takeaway"/>
    <n v="13"/>
  </r>
  <r>
    <s v="2026-08-13"/>
    <n v="2026"/>
    <x v="0"/>
    <s v="Thursday"/>
    <s v="16:21:00"/>
    <n v="16"/>
    <x v="2"/>
    <s v="Non-Coffee"/>
    <n v="2"/>
    <n v="14"/>
    <s v="Cash"/>
    <s v="Dine-In"/>
    <n v="28"/>
  </r>
  <r>
    <s v="2026-08-13"/>
    <n v="2026"/>
    <x v="0"/>
    <s v="Thursday"/>
    <s v="17:21:00"/>
    <n v="17"/>
    <x v="5"/>
    <s v="Coffee"/>
    <n v="2"/>
    <n v="9"/>
    <s v="E-Wallet"/>
    <s v="Dine-In"/>
    <n v="18"/>
  </r>
  <r>
    <s v="2026-08-14"/>
    <n v="2026"/>
    <x v="0"/>
    <s v="Friday"/>
    <s v="09:23:00"/>
    <n v="9"/>
    <x v="4"/>
    <s v="Coffee"/>
    <n v="1"/>
    <n v="13"/>
    <s v="E-Wallet"/>
    <s v="Takeaway"/>
    <n v="13"/>
  </r>
  <r>
    <s v="2026-08-14"/>
    <n v="2026"/>
    <x v="0"/>
    <s v="Friday"/>
    <s v="09:36:00"/>
    <n v="9"/>
    <x v="4"/>
    <s v="Coffee"/>
    <n v="2"/>
    <n v="13"/>
    <s v="Card"/>
    <s v="Dine-In"/>
    <n v="26"/>
  </r>
  <r>
    <s v="2026-08-14"/>
    <n v="2026"/>
    <x v="0"/>
    <s v="Friday"/>
    <s v="10:38:00"/>
    <n v="10"/>
    <x v="6"/>
    <s v="Coffee"/>
    <n v="1"/>
    <n v="7"/>
    <s v="Cash"/>
    <s v="Takeaway"/>
    <n v="7"/>
  </r>
  <r>
    <s v="2026-08-14"/>
    <n v="2026"/>
    <x v="0"/>
    <s v="Friday"/>
    <s v="10:51:00"/>
    <n v="10"/>
    <x v="10"/>
    <s v="Non-Coffee"/>
    <n v="2"/>
    <n v="12"/>
    <s v="Cash"/>
    <s v="Takeaway"/>
    <n v="24"/>
  </r>
  <r>
    <s v="2026-08-14"/>
    <n v="2026"/>
    <x v="0"/>
    <s v="Friday"/>
    <s v="11:11:00"/>
    <n v="11"/>
    <x v="9"/>
    <s v="Coffee"/>
    <n v="1"/>
    <n v="14"/>
    <s v="E-Wallet"/>
    <s v="Dine-In"/>
    <n v="14"/>
  </r>
  <r>
    <s v="2026-08-14"/>
    <n v="2026"/>
    <x v="0"/>
    <s v="Friday"/>
    <s v="12:42:00"/>
    <n v="12"/>
    <x v="5"/>
    <s v="Coffee"/>
    <n v="1"/>
    <n v="9"/>
    <s v="E-Wallet"/>
    <s v="Takeaway"/>
    <n v="9"/>
  </r>
  <r>
    <s v="2026-08-14"/>
    <n v="2026"/>
    <x v="0"/>
    <s v="Friday"/>
    <s v="14:12:00"/>
    <n v="14"/>
    <x v="8"/>
    <s v="Dessert"/>
    <n v="3"/>
    <n v="10"/>
    <s v="E-Wallet"/>
    <s v="Takeaway"/>
    <n v="30"/>
  </r>
  <r>
    <s v="2026-08-14"/>
    <n v="2026"/>
    <x v="0"/>
    <s v="Friday"/>
    <s v="14:48:00"/>
    <n v="14"/>
    <x v="6"/>
    <s v="Coffee"/>
    <n v="1"/>
    <n v="7"/>
    <s v="E-Wallet"/>
    <s v="Takeaway"/>
    <n v="7"/>
  </r>
  <r>
    <s v="2026-08-14"/>
    <n v="2026"/>
    <x v="0"/>
    <s v="Friday"/>
    <s v="14:53:00"/>
    <n v="14"/>
    <x v="2"/>
    <s v="Non-Coffee"/>
    <n v="1"/>
    <n v="14"/>
    <s v="Card"/>
    <s v="Dine-In"/>
    <n v="14"/>
  </r>
  <r>
    <s v="2026-08-14"/>
    <n v="2026"/>
    <x v="0"/>
    <s v="Friday"/>
    <s v="15:49:00"/>
    <n v="15"/>
    <x v="10"/>
    <s v="Non-Coffee"/>
    <n v="1"/>
    <n v="12"/>
    <s v="E-Wallet"/>
    <s v="Dine-In"/>
    <n v="12"/>
  </r>
  <r>
    <s v="2026-08-14"/>
    <n v="2026"/>
    <x v="0"/>
    <s v="Friday"/>
    <s v="15:57:00"/>
    <n v="15"/>
    <x v="5"/>
    <s v="Coffee"/>
    <n v="1"/>
    <n v="9"/>
    <s v="Card"/>
    <s v="Dine-In"/>
    <n v="9"/>
  </r>
  <r>
    <s v="2026-08-14"/>
    <n v="2026"/>
    <x v="0"/>
    <s v="Friday"/>
    <s v="17:04:00"/>
    <n v="17"/>
    <x v="7"/>
    <s v="Pastry"/>
    <n v="1"/>
    <n v="8"/>
    <s v="E-Wallet"/>
    <s v="Dine-In"/>
    <n v="8"/>
  </r>
  <r>
    <s v="2026-08-15"/>
    <n v="2026"/>
    <x v="0"/>
    <s v="Saturday"/>
    <s v="09:21:00"/>
    <n v="9"/>
    <x v="1"/>
    <s v="Coffee"/>
    <n v="2"/>
    <n v="12"/>
    <s v="E-Wallet"/>
    <s v="Dine-In"/>
    <n v="24"/>
  </r>
  <r>
    <s v="2026-08-15"/>
    <n v="2026"/>
    <x v="0"/>
    <s v="Saturday"/>
    <s v="10:16:00"/>
    <n v="10"/>
    <x v="4"/>
    <s v="Coffee"/>
    <n v="1"/>
    <n v="13"/>
    <s v="E-Wallet"/>
    <s v="Dine-In"/>
    <n v="13"/>
  </r>
  <r>
    <s v="2026-08-15"/>
    <n v="2026"/>
    <x v="0"/>
    <s v="Saturday"/>
    <s v="10:27:00"/>
    <n v="10"/>
    <x v="8"/>
    <s v="Dessert"/>
    <n v="4"/>
    <n v="10"/>
    <s v="E-Wallet"/>
    <s v="Takeaway"/>
    <n v="40"/>
  </r>
  <r>
    <s v="2026-08-15"/>
    <n v="2026"/>
    <x v="0"/>
    <s v="Saturday"/>
    <s v="13:21:00"/>
    <n v="13"/>
    <x v="6"/>
    <s v="Coffee"/>
    <n v="1"/>
    <n v="7"/>
    <s v="E-Wallet"/>
    <s v="Takeaway"/>
    <n v="7"/>
  </r>
  <r>
    <s v="2026-08-15"/>
    <n v="2026"/>
    <x v="0"/>
    <s v="Saturday"/>
    <s v="14:18:00"/>
    <n v="14"/>
    <x v="9"/>
    <s v="Coffee"/>
    <n v="2"/>
    <n v="14"/>
    <s v="Cash"/>
    <s v="Takeaway"/>
    <n v="28"/>
  </r>
  <r>
    <s v="2026-08-15"/>
    <n v="2026"/>
    <x v="0"/>
    <s v="Saturday"/>
    <s v="16:55:00"/>
    <n v="16"/>
    <x v="0"/>
    <s v="Coffee"/>
    <n v="2"/>
    <n v="15"/>
    <s v="E-Wallet"/>
    <s v="Dine-In"/>
    <n v="30"/>
  </r>
  <r>
    <s v="2026-08-15"/>
    <n v="2026"/>
    <x v="0"/>
    <s v="Saturday"/>
    <s v="17:26:00"/>
    <n v="17"/>
    <x v="10"/>
    <s v="Non-Coffee"/>
    <n v="2"/>
    <n v="12"/>
    <s v="E-Wallet"/>
    <s v="Dine-In"/>
    <n v="24"/>
  </r>
  <r>
    <s v="2026-08-15"/>
    <n v="2026"/>
    <x v="0"/>
    <s v="Saturday"/>
    <s v="17:40:00"/>
    <n v="17"/>
    <x v="8"/>
    <s v="Dessert"/>
    <n v="1"/>
    <n v="10"/>
    <s v="E-Wallet"/>
    <s v="Takeaway"/>
    <n v="10"/>
  </r>
  <r>
    <s v="2026-08-15"/>
    <n v="2026"/>
    <x v="0"/>
    <s v="Saturday"/>
    <s v="17:46:00"/>
    <n v="17"/>
    <x v="8"/>
    <s v="Dessert"/>
    <n v="1"/>
    <n v="10"/>
    <s v="E-Wallet"/>
    <s v="Dine-In"/>
    <n v="10"/>
  </r>
  <r>
    <s v="2026-08-15"/>
    <n v="2026"/>
    <x v="0"/>
    <s v="Saturday"/>
    <s v="18:51:00"/>
    <n v="18"/>
    <x v="4"/>
    <s v="Coffee"/>
    <n v="1"/>
    <n v="13"/>
    <s v="Cash"/>
    <s v="Dine-In"/>
    <n v="13"/>
  </r>
  <r>
    <s v="2026-08-15"/>
    <n v="2026"/>
    <x v="0"/>
    <s v="Saturday"/>
    <s v="19:42:00"/>
    <n v="19"/>
    <x v="2"/>
    <s v="Non-Coffee"/>
    <n v="1"/>
    <n v="14"/>
    <s v="Card"/>
    <s v="Dine-In"/>
    <n v="14"/>
  </r>
  <r>
    <s v="2026-08-16"/>
    <n v="2026"/>
    <x v="0"/>
    <s v="Sunday"/>
    <s v="08:06:00"/>
    <n v="8"/>
    <x v="9"/>
    <s v="Coffee"/>
    <n v="1"/>
    <n v="14"/>
    <s v="E-Wallet"/>
    <s v="Takeaway"/>
    <n v="14"/>
  </r>
  <r>
    <s v="2026-08-16"/>
    <n v="2026"/>
    <x v="0"/>
    <s v="Sunday"/>
    <s v="10:08:00"/>
    <n v="10"/>
    <x v="3"/>
    <s v="Pastry"/>
    <n v="2"/>
    <n v="9"/>
    <s v="Cash"/>
    <s v="Takeaway"/>
    <n v="18"/>
  </r>
  <r>
    <s v="2026-08-16"/>
    <n v="2026"/>
    <x v="0"/>
    <s v="Sunday"/>
    <s v="11:29:00"/>
    <n v="11"/>
    <x v="2"/>
    <s v="Non-Coffee"/>
    <n v="1"/>
    <n v="14"/>
    <s v="E-Wallet"/>
    <s v="Takeaway"/>
    <n v="14"/>
  </r>
  <r>
    <s v="2026-08-16"/>
    <n v="2026"/>
    <x v="0"/>
    <s v="Sunday"/>
    <s v="11:49:00"/>
    <n v="11"/>
    <x v="1"/>
    <s v="Coffee"/>
    <n v="1"/>
    <n v="12"/>
    <s v="Card"/>
    <s v="Dine-In"/>
    <n v="12"/>
  </r>
  <r>
    <s v="2026-08-16"/>
    <n v="2026"/>
    <x v="0"/>
    <s v="Sunday"/>
    <s v="12:03:00"/>
    <n v="12"/>
    <x v="3"/>
    <s v="Pastry"/>
    <n v="1"/>
    <n v="9"/>
    <s v="E-Wallet"/>
    <s v="Dine-In"/>
    <n v="9"/>
  </r>
  <r>
    <s v="2026-08-16"/>
    <n v="2026"/>
    <x v="0"/>
    <s v="Sunday"/>
    <s v="13:12:00"/>
    <n v="13"/>
    <x v="6"/>
    <s v="Coffee"/>
    <n v="3"/>
    <n v="7"/>
    <s v="Card"/>
    <s v="Takeaway"/>
    <n v="21"/>
  </r>
  <r>
    <s v="2026-08-16"/>
    <n v="2026"/>
    <x v="0"/>
    <s v="Sunday"/>
    <s v="13:46:00"/>
    <n v="13"/>
    <x v="5"/>
    <s v="Coffee"/>
    <n v="2"/>
    <n v="9"/>
    <s v="Cash"/>
    <s v="Dine-In"/>
    <n v="18"/>
  </r>
  <r>
    <s v="2026-08-16"/>
    <n v="2026"/>
    <x v="0"/>
    <s v="Sunday"/>
    <s v="14:19:00"/>
    <n v="14"/>
    <x v="8"/>
    <s v="Dessert"/>
    <n v="1"/>
    <n v="10"/>
    <s v="E-Wallet"/>
    <s v="Dine-In"/>
    <n v="10"/>
  </r>
  <r>
    <s v="2026-08-16"/>
    <n v="2026"/>
    <x v="0"/>
    <s v="Sunday"/>
    <s v="14:29:00"/>
    <n v="14"/>
    <x v="2"/>
    <s v="Non-Coffee"/>
    <n v="2"/>
    <n v="14"/>
    <s v="Cash"/>
    <s v="Takeaway"/>
    <n v="28"/>
  </r>
  <r>
    <s v="2026-08-16"/>
    <n v="2026"/>
    <x v="0"/>
    <s v="Sunday"/>
    <s v="14:32:00"/>
    <n v="14"/>
    <x v="3"/>
    <s v="Pastry"/>
    <n v="2"/>
    <n v="9"/>
    <s v="Cash"/>
    <s v="Takeaway"/>
    <n v="18"/>
  </r>
  <r>
    <s v="2026-08-16"/>
    <n v="2026"/>
    <x v="0"/>
    <s v="Sunday"/>
    <s v="14:37:00"/>
    <n v="14"/>
    <x v="1"/>
    <s v="Coffee"/>
    <n v="2"/>
    <n v="12"/>
    <s v="Card"/>
    <s v="Dine-In"/>
    <n v="24"/>
  </r>
  <r>
    <s v="2026-08-16"/>
    <n v="2026"/>
    <x v="0"/>
    <s v="Sunday"/>
    <s v="15:50:00"/>
    <n v="15"/>
    <x v="2"/>
    <s v="Non-Coffee"/>
    <n v="1"/>
    <n v="14"/>
    <s v="E-Wallet"/>
    <s v="Dine-In"/>
    <n v="14"/>
  </r>
  <r>
    <s v="2026-08-16"/>
    <n v="2026"/>
    <x v="0"/>
    <s v="Sunday"/>
    <s v="17:08:00"/>
    <n v="17"/>
    <x v="7"/>
    <s v="Pastry"/>
    <n v="1"/>
    <n v="8"/>
    <s v="Card"/>
    <s v="Dine-In"/>
    <n v="8"/>
  </r>
  <r>
    <s v="2026-08-16"/>
    <n v="2026"/>
    <x v="0"/>
    <s v="Sunday"/>
    <s v="19:55:00"/>
    <n v="19"/>
    <x v="9"/>
    <s v="Coffee"/>
    <n v="1"/>
    <n v="14"/>
    <s v="Cash"/>
    <s v="Takeaway"/>
    <n v="14"/>
  </r>
  <r>
    <s v="2026-08-17"/>
    <n v="2026"/>
    <x v="0"/>
    <s v="Monday"/>
    <s v="10:13:00"/>
    <n v="10"/>
    <x v="3"/>
    <s v="Pastry"/>
    <n v="1"/>
    <n v="9"/>
    <s v="Card"/>
    <s v="Takeaway"/>
    <n v="9"/>
  </r>
  <r>
    <s v="2026-08-17"/>
    <n v="2026"/>
    <x v="0"/>
    <s v="Monday"/>
    <s v="12:03:00"/>
    <n v="12"/>
    <x v="5"/>
    <s v="Coffee"/>
    <n v="1"/>
    <n v="9"/>
    <s v="E-Wallet"/>
    <s v="Takeaway"/>
    <n v="9"/>
  </r>
  <r>
    <s v="2026-08-17"/>
    <n v="2026"/>
    <x v="0"/>
    <s v="Monday"/>
    <s v="13:19:00"/>
    <n v="13"/>
    <x v="6"/>
    <s v="Coffee"/>
    <n v="1"/>
    <n v="7"/>
    <s v="E-Wallet"/>
    <s v="Dine-In"/>
    <n v="7"/>
  </r>
  <r>
    <s v="2026-08-17"/>
    <n v="2026"/>
    <x v="0"/>
    <s v="Monday"/>
    <s v="14:43:00"/>
    <n v="14"/>
    <x v="1"/>
    <s v="Coffee"/>
    <n v="1"/>
    <n v="12"/>
    <s v="Cash"/>
    <s v="Dine-In"/>
    <n v="12"/>
  </r>
  <r>
    <s v="2026-08-17"/>
    <n v="2026"/>
    <x v="0"/>
    <s v="Monday"/>
    <s v="15:06:00"/>
    <n v="15"/>
    <x v="8"/>
    <s v="Dessert"/>
    <n v="4"/>
    <n v="10"/>
    <s v="Cash"/>
    <s v="Dine-In"/>
    <n v="40"/>
  </r>
  <r>
    <s v="2026-08-17"/>
    <n v="2026"/>
    <x v="0"/>
    <s v="Monday"/>
    <s v="16:31:00"/>
    <n v="16"/>
    <x v="8"/>
    <s v="Dessert"/>
    <n v="1"/>
    <n v="10"/>
    <s v="Cash"/>
    <s v="Takeaway"/>
    <n v="10"/>
  </r>
  <r>
    <s v="2026-08-17"/>
    <n v="2026"/>
    <x v="0"/>
    <s v="Monday"/>
    <s v="16:37:00"/>
    <n v="16"/>
    <x v="11"/>
    <s v="Dessert"/>
    <n v="1"/>
    <n v="16"/>
    <s v="Cash"/>
    <s v="Dine-In"/>
    <n v="16"/>
  </r>
  <r>
    <s v="2026-08-17"/>
    <n v="2026"/>
    <x v="0"/>
    <s v="Monday"/>
    <s v="16:56:00"/>
    <n v="16"/>
    <x v="2"/>
    <s v="Non-Coffee"/>
    <n v="1"/>
    <n v="14"/>
    <s v="E-Wallet"/>
    <s v="Takeaway"/>
    <n v="14"/>
  </r>
  <r>
    <s v="2026-08-17"/>
    <n v="2026"/>
    <x v="0"/>
    <s v="Monday"/>
    <s v="18:12:00"/>
    <n v="18"/>
    <x v="11"/>
    <s v="Dessert"/>
    <n v="1"/>
    <n v="16"/>
    <s v="Card"/>
    <s v="Takeaway"/>
    <n v="16"/>
  </r>
  <r>
    <s v="2026-08-17"/>
    <n v="2026"/>
    <x v="0"/>
    <s v="Monday"/>
    <s v="18:34:00"/>
    <n v="18"/>
    <x v="3"/>
    <s v="Pastry"/>
    <n v="2"/>
    <n v="9"/>
    <s v="Card"/>
    <s v="Dine-In"/>
    <n v="18"/>
  </r>
  <r>
    <s v="2026-08-17"/>
    <n v="2026"/>
    <x v="0"/>
    <s v="Monday"/>
    <s v="19:01:00"/>
    <n v="19"/>
    <x v="5"/>
    <s v="Coffee"/>
    <n v="1"/>
    <n v="9"/>
    <s v="E-Wallet"/>
    <s v="Dine-In"/>
    <n v="9"/>
  </r>
  <r>
    <s v="2026-08-17"/>
    <n v="2026"/>
    <x v="0"/>
    <s v="Monday"/>
    <s v="19:19:00"/>
    <n v="19"/>
    <x v="0"/>
    <s v="Coffee"/>
    <n v="4"/>
    <n v="15"/>
    <s v="E-Wallet"/>
    <s v="Takeaway"/>
    <n v="60"/>
  </r>
  <r>
    <s v="2026-08-18"/>
    <n v="2026"/>
    <x v="0"/>
    <s v="Tuesday"/>
    <s v="08:11:00"/>
    <n v="8"/>
    <x v="2"/>
    <s v="Non-Coffee"/>
    <n v="1"/>
    <n v="14"/>
    <s v="E-Wallet"/>
    <s v="Takeaway"/>
    <n v="14"/>
  </r>
  <r>
    <s v="2026-08-18"/>
    <n v="2026"/>
    <x v="0"/>
    <s v="Tuesday"/>
    <s v="09:27:00"/>
    <n v="9"/>
    <x v="4"/>
    <s v="Coffee"/>
    <n v="3"/>
    <n v="13"/>
    <s v="Cash"/>
    <s v="Takeaway"/>
    <n v="39"/>
  </r>
  <r>
    <s v="2026-08-18"/>
    <n v="2026"/>
    <x v="0"/>
    <s v="Tuesday"/>
    <s v="09:57:00"/>
    <n v="9"/>
    <x v="6"/>
    <s v="Coffee"/>
    <n v="2"/>
    <n v="7"/>
    <s v="Cash"/>
    <s v="Takeaway"/>
    <n v="14"/>
  </r>
  <r>
    <s v="2026-08-18"/>
    <n v="2026"/>
    <x v="0"/>
    <s v="Tuesday"/>
    <s v="11:41:00"/>
    <n v="11"/>
    <x v="5"/>
    <s v="Coffee"/>
    <n v="1"/>
    <n v="9"/>
    <s v="Card"/>
    <s v="Takeaway"/>
    <n v="9"/>
  </r>
  <r>
    <s v="2026-08-18"/>
    <n v="2026"/>
    <x v="0"/>
    <s v="Tuesday"/>
    <s v="15:36:00"/>
    <n v="15"/>
    <x v="1"/>
    <s v="Coffee"/>
    <n v="2"/>
    <n v="12"/>
    <s v="Cash"/>
    <s v="Takeaway"/>
    <n v="24"/>
  </r>
  <r>
    <s v="2026-08-18"/>
    <n v="2026"/>
    <x v="0"/>
    <s v="Tuesday"/>
    <s v="15:53:00"/>
    <n v="15"/>
    <x v="4"/>
    <s v="Coffee"/>
    <n v="1"/>
    <n v="13"/>
    <s v="E-Wallet"/>
    <s v="Takeaway"/>
    <n v="13"/>
  </r>
  <r>
    <s v="2026-08-18"/>
    <n v="2026"/>
    <x v="0"/>
    <s v="Tuesday"/>
    <s v="16:10:00"/>
    <n v="16"/>
    <x v="4"/>
    <s v="Coffee"/>
    <n v="1"/>
    <n v="13"/>
    <s v="Cash"/>
    <s v="Takeaway"/>
    <n v="13"/>
  </r>
  <r>
    <s v="2026-08-18"/>
    <n v="2026"/>
    <x v="0"/>
    <s v="Tuesday"/>
    <s v="17:17:00"/>
    <n v="17"/>
    <x v="5"/>
    <s v="Coffee"/>
    <n v="1"/>
    <n v="9"/>
    <s v="Card"/>
    <s v="Dine-In"/>
    <n v="9"/>
  </r>
  <r>
    <s v="2026-08-18"/>
    <n v="2026"/>
    <x v="0"/>
    <s v="Tuesday"/>
    <s v="17:56:00"/>
    <n v="17"/>
    <x v="4"/>
    <s v="Coffee"/>
    <n v="1"/>
    <n v="13"/>
    <s v="E-Wallet"/>
    <s v="Takeaway"/>
    <n v="13"/>
  </r>
  <r>
    <s v="2026-08-18"/>
    <n v="2026"/>
    <x v="0"/>
    <s v="Tuesday"/>
    <s v="18:11:00"/>
    <n v="18"/>
    <x v="1"/>
    <s v="Coffee"/>
    <n v="1"/>
    <n v="12"/>
    <s v="Cash"/>
    <s v="Takeaway"/>
    <n v="12"/>
  </r>
  <r>
    <s v="2026-08-19"/>
    <n v="2026"/>
    <x v="0"/>
    <s v="Wednesday"/>
    <s v="08:32:00"/>
    <n v="8"/>
    <x v="7"/>
    <s v="Pastry"/>
    <n v="4"/>
    <n v="8"/>
    <s v="E-Wallet"/>
    <s v="Dine-In"/>
    <n v="32"/>
  </r>
  <r>
    <s v="2026-08-19"/>
    <n v="2026"/>
    <x v="0"/>
    <s v="Wednesday"/>
    <s v="08:38:00"/>
    <n v="8"/>
    <x v="6"/>
    <s v="Coffee"/>
    <n v="1"/>
    <n v="7"/>
    <s v="Card"/>
    <s v="Takeaway"/>
    <n v="7"/>
  </r>
  <r>
    <s v="2026-08-19"/>
    <n v="2026"/>
    <x v="0"/>
    <s v="Wednesday"/>
    <s v="11:14:00"/>
    <n v="11"/>
    <x v="7"/>
    <s v="Pastry"/>
    <n v="1"/>
    <n v="8"/>
    <s v="Card"/>
    <s v="Takeaway"/>
    <n v="8"/>
  </r>
  <r>
    <s v="2026-08-19"/>
    <n v="2026"/>
    <x v="0"/>
    <s v="Wednesday"/>
    <s v="11:42:00"/>
    <n v="11"/>
    <x v="7"/>
    <s v="Pastry"/>
    <n v="1"/>
    <n v="8"/>
    <s v="E-Wallet"/>
    <s v="Dine-In"/>
    <n v="8"/>
  </r>
  <r>
    <s v="2026-08-19"/>
    <n v="2026"/>
    <x v="0"/>
    <s v="Wednesday"/>
    <s v="13:58:00"/>
    <n v="13"/>
    <x v="5"/>
    <s v="Coffee"/>
    <n v="1"/>
    <n v="9"/>
    <s v="E-Wallet"/>
    <s v="Takeaway"/>
    <n v="9"/>
  </r>
  <r>
    <s v="2026-08-19"/>
    <n v="2026"/>
    <x v="0"/>
    <s v="Wednesday"/>
    <s v="16:14:00"/>
    <n v="16"/>
    <x v="1"/>
    <s v="Coffee"/>
    <n v="1"/>
    <n v="12"/>
    <s v="Cash"/>
    <s v="Dine-In"/>
    <n v="12"/>
  </r>
  <r>
    <s v="2026-08-19"/>
    <n v="2026"/>
    <x v="0"/>
    <s v="Wednesday"/>
    <s v="16:23:00"/>
    <n v="16"/>
    <x v="5"/>
    <s v="Coffee"/>
    <n v="2"/>
    <n v="9"/>
    <s v="Card"/>
    <s v="Dine-In"/>
    <n v="18"/>
  </r>
  <r>
    <s v="2026-08-19"/>
    <n v="2026"/>
    <x v="0"/>
    <s v="Wednesday"/>
    <s v="18:32:00"/>
    <n v="18"/>
    <x v="6"/>
    <s v="Coffee"/>
    <n v="1"/>
    <n v="7"/>
    <s v="Cash"/>
    <s v="Dine-In"/>
    <n v="7"/>
  </r>
  <r>
    <s v="2026-08-20"/>
    <n v="2026"/>
    <x v="0"/>
    <s v="Thursday"/>
    <s v="08:10:00"/>
    <n v="8"/>
    <x v="4"/>
    <s v="Coffee"/>
    <n v="1"/>
    <n v="13"/>
    <s v="E-Wallet"/>
    <s v="Takeaway"/>
    <n v="13"/>
  </r>
  <r>
    <s v="2026-08-20"/>
    <n v="2026"/>
    <x v="0"/>
    <s v="Thursday"/>
    <s v="08:13:00"/>
    <n v="8"/>
    <x v="5"/>
    <s v="Coffee"/>
    <n v="1"/>
    <n v="9"/>
    <s v="E-Wallet"/>
    <s v="Takeaway"/>
    <n v="9"/>
  </r>
  <r>
    <s v="2026-08-20"/>
    <n v="2026"/>
    <x v="0"/>
    <s v="Thursday"/>
    <s v="08:31:00"/>
    <n v="8"/>
    <x v="9"/>
    <s v="Coffee"/>
    <n v="2"/>
    <n v="14"/>
    <s v="Cash"/>
    <s v="Takeaway"/>
    <n v="28"/>
  </r>
  <r>
    <s v="2026-08-20"/>
    <n v="2026"/>
    <x v="0"/>
    <s v="Thursday"/>
    <s v="10:36:00"/>
    <n v="10"/>
    <x v="0"/>
    <s v="Coffee"/>
    <n v="4"/>
    <n v="15"/>
    <s v="Cash"/>
    <s v="Dine-In"/>
    <n v="60"/>
  </r>
  <r>
    <s v="2026-08-20"/>
    <n v="2026"/>
    <x v="0"/>
    <s v="Thursday"/>
    <s v="10:38:00"/>
    <n v="10"/>
    <x v="1"/>
    <s v="Coffee"/>
    <n v="2"/>
    <n v="12"/>
    <s v="Card"/>
    <s v="Dine-In"/>
    <n v="24"/>
  </r>
  <r>
    <s v="2026-08-20"/>
    <n v="2026"/>
    <x v="0"/>
    <s v="Thursday"/>
    <s v="10:59:00"/>
    <n v="10"/>
    <x v="8"/>
    <s v="Dessert"/>
    <n v="2"/>
    <n v="10"/>
    <s v="E-Wallet"/>
    <s v="Dine-In"/>
    <n v="20"/>
  </r>
  <r>
    <s v="2026-08-20"/>
    <n v="2026"/>
    <x v="0"/>
    <s v="Thursday"/>
    <s v="11:53:00"/>
    <n v="11"/>
    <x v="8"/>
    <s v="Dessert"/>
    <n v="1"/>
    <n v="10"/>
    <s v="Card"/>
    <s v="Takeaway"/>
    <n v="10"/>
  </r>
  <r>
    <s v="2026-08-20"/>
    <n v="2026"/>
    <x v="0"/>
    <s v="Thursday"/>
    <s v="14:29:00"/>
    <n v="14"/>
    <x v="4"/>
    <s v="Coffee"/>
    <n v="1"/>
    <n v="13"/>
    <s v="Card"/>
    <s v="Takeaway"/>
    <n v="13"/>
  </r>
  <r>
    <s v="2026-08-20"/>
    <n v="2026"/>
    <x v="0"/>
    <s v="Thursday"/>
    <s v="18:43:00"/>
    <n v="18"/>
    <x v="4"/>
    <s v="Coffee"/>
    <n v="1"/>
    <n v="13"/>
    <s v="Cash"/>
    <s v="Takeaway"/>
    <n v="13"/>
  </r>
  <r>
    <s v="2026-08-21"/>
    <n v="2026"/>
    <x v="0"/>
    <s v="Friday"/>
    <s v="08:04:00"/>
    <n v="8"/>
    <x v="5"/>
    <s v="Coffee"/>
    <n v="2"/>
    <n v="9"/>
    <s v="Cash"/>
    <s v="Takeaway"/>
    <n v="18"/>
  </r>
  <r>
    <s v="2026-08-21"/>
    <n v="2026"/>
    <x v="0"/>
    <s v="Friday"/>
    <s v="10:29:00"/>
    <n v="10"/>
    <x v="10"/>
    <s v="Non-Coffee"/>
    <n v="1"/>
    <n v="12"/>
    <s v="Card"/>
    <s v="Dine-In"/>
    <n v="12"/>
  </r>
  <r>
    <s v="2026-08-21"/>
    <n v="2026"/>
    <x v="0"/>
    <s v="Friday"/>
    <s v="11:35:00"/>
    <n v="11"/>
    <x v="3"/>
    <s v="Pastry"/>
    <n v="1"/>
    <n v="9"/>
    <s v="E-Wallet"/>
    <s v="Takeaway"/>
    <n v="9"/>
  </r>
  <r>
    <s v="2026-08-21"/>
    <n v="2026"/>
    <x v="0"/>
    <s v="Friday"/>
    <s v="13:38:00"/>
    <n v="13"/>
    <x v="2"/>
    <s v="Non-Coffee"/>
    <n v="1"/>
    <n v="14"/>
    <s v="Cash"/>
    <s v="Dine-In"/>
    <n v="14"/>
  </r>
  <r>
    <s v="2026-08-21"/>
    <n v="2026"/>
    <x v="0"/>
    <s v="Friday"/>
    <s v="14:02:00"/>
    <n v="14"/>
    <x v="0"/>
    <s v="Coffee"/>
    <n v="2"/>
    <n v="15"/>
    <s v="E-Wallet"/>
    <s v="Takeaway"/>
    <n v="30"/>
  </r>
  <r>
    <s v="2026-08-21"/>
    <n v="2026"/>
    <x v="0"/>
    <s v="Friday"/>
    <s v="14:37:00"/>
    <n v="14"/>
    <x v="4"/>
    <s v="Coffee"/>
    <n v="1"/>
    <n v="13"/>
    <s v="Cash"/>
    <s v="Takeaway"/>
    <n v="13"/>
  </r>
  <r>
    <s v="2026-08-21"/>
    <n v="2026"/>
    <x v="0"/>
    <s v="Friday"/>
    <s v="14:51:00"/>
    <n v="14"/>
    <x v="10"/>
    <s v="Non-Coffee"/>
    <n v="1"/>
    <n v="12"/>
    <s v="E-Wallet"/>
    <s v="Takeaway"/>
    <n v="12"/>
  </r>
  <r>
    <s v="2026-08-21"/>
    <n v="2026"/>
    <x v="0"/>
    <s v="Friday"/>
    <s v="15:10:00"/>
    <n v="15"/>
    <x v="4"/>
    <s v="Coffee"/>
    <n v="2"/>
    <n v="13"/>
    <s v="E-Wallet"/>
    <s v="Takeaway"/>
    <n v="26"/>
  </r>
  <r>
    <s v="2026-08-21"/>
    <n v="2026"/>
    <x v="0"/>
    <s v="Friday"/>
    <s v="17:03:00"/>
    <n v="17"/>
    <x v="7"/>
    <s v="Pastry"/>
    <n v="3"/>
    <n v="8"/>
    <s v="Card"/>
    <s v="Takeaway"/>
    <n v="24"/>
  </r>
  <r>
    <s v="2026-08-21"/>
    <n v="2026"/>
    <x v="0"/>
    <s v="Friday"/>
    <s v="18:47:00"/>
    <n v="18"/>
    <x v="10"/>
    <s v="Non-Coffee"/>
    <n v="1"/>
    <n v="12"/>
    <s v="Card"/>
    <s v="Dine-In"/>
    <n v="12"/>
  </r>
  <r>
    <s v="2026-08-21"/>
    <n v="2026"/>
    <x v="0"/>
    <s v="Friday"/>
    <s v="19:50:00"/>
    <n v="19"/>
    <x v="5"/>
    <s v="Coffee"/>
    <n v="1"/>
    <n v="9"/>
    <s v="E-Wallet"/>
    <s v="Takeaway"/>
    <n v="9"/>
  </r>
  <r>
    <s v="2026-08-21"/>
    <n v="2026"/>
    <x v="0"/>
    <s v="Friday"/>
    <s v="19:51:00"/>
    <n v="19"/>
    <x v="6"/>
    <s v="Coffee"/>
    <n v="1"/>
    <n v="7"/>
    <s v="Card"/>
    <s v="Takeaway"/>
    <n v="7"/>
  </r>
  <r>
    <s v="2026-08-22"/>
    <n v="2026"/>
    <x v="0"/>
    <s v="Saturday"/>
    <s v="08:27:00"/>
    <n v="8"/>
    <x v="0"/>
    <s v="Coffee"/>
    <n v="1"/>
    <n v="15"/>
    <s v="E-Wallet"/>
    <s v="Dine-In"/>
    <n v="15"/>
  </r>
  <r>
    <s v="2026-08-22"/>
    <n v="2026"/>
    <x v="0"/>
    <s v="Saturday"/>
    <s v="10:23:00"/>
    <n v="10"/>
    <x v="5"/>
    <s v="Coffee"/>
    <n v="1"/>
    <n v="9"/>
    <s v="Card"/>
    <s v="Takeaway"/>
    <n v="9"/>
  </r>
  <r>
    <s v="2026-08-22"/>
    <n v="2026"/>
    <x v="0"/>
    <s v="Saturday"/>
    <s v="10:36:00"/>
    <n v="10"/>
    <x v="9"/>
    <s v="Coffee"/>
    <n v="1"/>
    <n v="14"/>
    <s v="E-Wallet"/>
    <s v="Takeaway"/>
    <n v="14"/>
  </r>
  <r>
    <s v="2026-08-22"/>
    <n v="2026"/>
    <x v="0"/>
    <s v="Saturday"/>
    <s v="11:08:00"/>
    <n v="11"/>
    <x v="4"/>
    <s v="Coffee"/>
    <n v="1"/>
    <n v="13"/>
    <s v="Card"/>
    <s v="Takeaway"/>
    <n v="13"/>
  </r>
  <r>
    <s v="2026-08-22"/>
    <n v="2026"/>
    <x v="0"/>
    <s v="Saturday"/>
    <s v="12:01:00"/>
    <n v="12"/>
    <x v="2"/>
    <s v="Non-Coffee"/>
    <n v="1"/>
    <n v="14"/>
    <s v="E-Wallet"/>
    <s v="Dine-In"/>
    <n v="14"/>
  </r>
  <r>
    <s v="2026-08-22"/>
    <n v="2026"/>
    <x v="0"/>
    <s v="Saturday"/>
    <s v="12:55:00"/>
    <n v="12"/>
    <x v="7"/>
    <s v="Pastry"/>
    <n v="1"/>
    <n v="8"/>
    <s v="E-Wallet"/>
    <s v="Takeaway"/>
    <n v="8"/>
  </r>
  <r>
    <s v="2026-08-22"/>
    <n v="2026"/>
    <x v="0"/>
    <s v="Saturday"/>
    <s v="12:58:00"/>
    <n v="12"/>
    <x v="4"/>
    <s v="Coffee"/>
    <n v="3"/>
    <n v="13"/>
    <s v="E-Wallet"/>
    <s v="Dine-In"/>
    <n v="39"/>
  </r>
  <r>
    <s v="2026-08-22"/>
    <n v="2026"/>
    <x v="0"/>
    <s v="Saturday"/>
    <s v="14:03:00"/>
    <n v="14"/>
    <x v="5"/>
    <s v="Coffee"/>
    <n v="3"/>
    <n v="9"/>
    <s v="E-Wallet"/>
    <s v="Dine-In"/>
    <n v="27"/>
  </r>
  <r>
    <s v="2026-08-22"/>
    <n v="2026"/>
    <x v="0"/>
    <s v="Saturday"/>
    <s v="14:14:00"/>
    <n v="14"/>
    <x v="5"/>
    <s v="Coffee"/>
    <n v="1"/>
    <n v="9"/>
    <s v="Cash"/>
    <s v="Dine-In"/>
    <n v="9"/>
  </r>
  <r>
    <s v="2026-08-22"/>
    <n v="2026"/>
    <x v="0"/>
    <s v="Saturday"/>
    <s v="15:13:00"/>
    <n v="15"/>
    <x v="0"/>
    <s v="Coffee"/>
    <n v="1"/>
    <n v="15"/>
    <s v="E-Wallet"/>
    <s v="Dine-In"/>
    <n v="15"/>
  </r>
  <r>
    <s v="2026-08-22"/>
    <n v="2026"/>
    <x v="0"/>
    <s v="Saturday"/>
    <s v="15:35:00"/>
    <n v="15"/>
    <x v="11"/>
    <s v="Dessert"/>
    <n v="1"/>
    <n v="16"/>
    <s v="Card"/>
    <s v="Takeaway"/>
    <n v="16"/>
  </r>
  <r>
    <s v="2026-08-22"/>
    <n v="2026"/>
    <x v="0"/>
    <s v="Saturday"/>
    <s v="15:41:00"/>
    <n v="15"/>
    <x v="2"/>
    <s v="Non-Coffee"/>
    <n v="1"/>
    <n v="14"/>
    <s v="E-Wallet"/>
    <s v="Takeaway"/>
    <n v="14"/>
  </r>
  <r>
    <s v="2026-08-22"/>
    <n v="2026"/>
    <x v="0"/>
    <s v="Saturday"/>
    <s v="15:43:00"/>
    <n v="15"/>
    <x v="3"/>
    <s v="Pastry"/>
    <n v="1"/>
    <n v="9"/>
    <s v="Card"/>
    <s v="Dine-In"/>
    <n v="9"/>
  </r>
  <r>
    <s v="2026-08-22"/>
    <n v="2026"/>
    <x v="0"/>
    <s v="Saturday"/>
    <s v="16:36:00"/>
    <n v="16"/>
    <x v="6"/>
    <s v="Coffee"/>
    <n v="1"/>
    <n v="7"/>
    <s v="E-Wallet"/>
    <s v="Dine-In"/>
    <n v="7"/>
  </r>
  <r>
    <s v="2026-08-22"/>
    <n v="2026"/>
    <x v="0"/>
    <s v="Saturday"/>
    <s v="16:54:00"/>
    <n v="16"/>
    <x v="8"/>
    <s v="Dessert"/>
    <n v="1"/>
    <n v="10"/>
    <s v="E-Wallet"/>
    <s v="Takeaway"/>
    <n v="10"/>
  </r>
  <r>
    <s v="2026-08-22"/>
    <n v="2026"/>
    <x v="0"/>
    <s v="Saturday"/>
    <s v="17:09:00"/>
    <n v="17"/>
    <x v="11"/>
    <s v="Dessert"/>
    <n v="1"/>
    <n v="16"/>
    <s v="E-Wallet"/>
    <s v="Takeaway"/>
    <n v="16"/>
  </r>
  <r>
    <s v="2026-08-22"/>
    <n v="2026"/>
    <x v="0"/>
    <s v="Saturday"/>
    <s v="17:16:00"/>
    <n v="17"/>
    <x v="6"/>
    <s v="Coffee"/>
    <n v="1"/>
    <n v="7"/>
    <s v="E-Wallet"/>
    <s v="Takeaway"/>
    <n v="7"/>
  </r>
  <r>
    <s v="2026-08-22"/>
    <n v="2026"/>
    <x v="0"/>
    <s v="Saturday"/>
    <s v="17:22:00"/>
    <n v="17"/>
    <x v="4"/>
    <s v="Coffee"/>
    <n v="1"/>
    <n v="13"/>
    <s v="Cash"/>
    <s v="Takeaway"/>
    <n v="13"/>
  </r>
  <r>
    <s v="2026-08-22"/>
    <n v="2026"/>
    <x v="0"/>
    <s v="Saturday"/>
    <s v="17:28:00"/>
    <n v="17"/>
    <x v="7"/>
    <s v="Pastry"/>
    <n v="3"/>
    <n v="8"/>
    <s v="Card"/>
    <s v="Dine-In"/>
    <n v="24"/>
  </r>
  <r>
    <s v="2026-08-22"/>
    <n v="2026"/>
    <x v="0"/>
    <s v="Saturday"/>
    <s v="18:31:00"/>
    <n v="18"/>
    <x v="7"/>
    <s v="Pastry"/>
    <n v="1"/>
    <n v="8"/>
    <s v="Card"/>
    <s v="Dine-In"/>
    <n v="8"/>
  </r>
  <r>
    <s v="2026-08-23"/>
    <n v="2026"/>
    <x v="0"/>
    <s v="Sunday"/>
    <s v="11:47:00"/>
    <n v="11"/>
    <x v="4"/>
    <s v="Coffee"/>
    <n v="1"/>
    <n v="13"/>
    <s v="Card"/>
    <s v="Takeaway"/>
    <n v="13"/>
  </r>
  <r>
    <s v="2026-08-23"/>
    <n v="2026"/>
    <x v="0"/>
    <s v="Sunday"/>
    <s v="12:10:00"/>
    <n v="12"/>
    <x v="3"/>
    <s v="Pastry"/>
    <n v="1"/>
    <n v="9"/>
    <s v="E-Wallet"/>
    <s v="Takeaway"/>
    <n v="9"/>
  </r>
  <r>
    <s v="2026-08-23"/>
    <n v="2026"/>
    <x v="0"/>
    <s v="Sunday"/>
    <s v="13:20:00"/>
    <n v="13"/>
    <x v="4"/>
    <s v="Coffee"/>
    <n v="1"/>
    <n v="13"/>
    <s v="Cash"/>
    <s v="Dine-In"/>
    <n v="13"/>
  </r>
  <r>
    <s v="2026-08-23"/>
    <n v="2026"/>
    <x v="0"/>
    <s v="Sunday"/>
    <s v="15:06:00"/>
    <n v="15"/>
    <x v="4"/>
    <s v="Coffee"/>
    <n v="2"/>
    <n v="13"/>
    <s v="Card"/>
    <s v="Takeaway"/>
    <n v="26"/>
  </r>
  <r>
    <s v="2026-08-23"/>
    <n v="2026"/>
    <x v="0"/>
    <s v="Sunday"/>
    <s v="15:19:00"/>
    <n v="15"/>
    <x v="9"/>
    <s v="Coffee"/>
    <n v="1"/>
    <n v="14"/>
    <s v="Card"/>
    <s v="Takeaway"/>
    <n v="14"/>
  </r>
  <r>
    <s v="2026-08-23"/>
    <n v="2026"/>
    <x v="0"/>
    <s v="Sunday"/>
    <s v="15:37:00"/>
    <n v="15"/>
    <x v="4"/>
    <s v="Coffee"/>
    <n v="1"/>
    <n v="13"/>
    <s v="E-Wallet"/>
    <s v="Dine-In"/>
    <n v="13"/>
  </r>
  <r>
    <s v="2026-08-23"/>
    <n v="2026"/>
    <x v="0"/>
    <s v="Sunday"/>
    <s v="16:01:00"/>
    <n v="16"/>
    <x v="2"/>
    <s v="Non-Coffee"/>
    <n v="1"/>
    <n v="14"/>
    <s v="Card"/>
    <s v="Dine-In"/>
    <n v="14"/>
  </r>
  <r>
    <s v="2026-08-23"/>
    <n v="2026"/>
    <x v="0"/>
    <s v="Sunday"/>
    <s v="16:43:00"/>
    <n v="16"/>
    <x v="5"/>
    <s v="Coffee"/>
    <n v="2"/>
    <n v="9"/>
    <s v="E-Wallet"/>
    <s v="Takeaway"/>
    <n v="18"/>
  </r>
  <r>
    <s v="2026-08-23"/>
    <n v="2026"/>
    <x v="0"/>
    <s v="Sunday"/>
    <s v="17:23:00"/>
    <n v="17"/>
    <x v="4"/>
    <s v="Coffee"/>
    <n v="1"/>
    <n v="13"/>
    <s v="Card"/>
    <s v="Takeaway"/>
    <n v="13"/>
  </r>
  <r>
    <s v="2026-08-23"/>
    <n v="2026"/>
    <x v="0"/>
    <s v="Sunday"/>
    <s v="18:26:00"/>
    <n v="18"/>
    <x v="4"/>
    <s v="Coffee"/>
    <n v="1"/>
    <n v="13"/>
    <s v="Cash"/>
    <s v="Dine-In"/>
    <n v="13"/>
  </r>
  <r>
    <s v="2026-08-23"/>
    <n v="2026"/>
    <x v="0"/>
    <s v="Sunday"/>
    <s v="18:30:00"/>
    <n v="18"/>
    <x v="2"/>
    <s v="Non-Coffee"/>
    <n v="2"/>
    <n v="14"/>
    <s v="Cash"/>
    <s v="Dine-In"/>
    <n v="28"/>
  </r>
  <r>
    <s v="2026-08-24"/>
    <n v="2026"/>
    <x v="0"/>
    <s v="Monday"/>
    <s v="09:58:00"/>
    <n v="9"/>
    <x v="4"/>
    <s v="Coffee"/>
    <n v="1"/>
    <n v="13"/>
    <s v="Card"/>
    <s v="Dine-In"/>
    <n v="13"/>
  </r>
  <r>
    <s v="2026-08-24"/>
    <n v="2026"/>
    <x v="0"/>
    <s v="Monday"/>
    <s v="10:22:00"/>
    <n v="10"/>
    <x v="7"/>
    <s v="Pastry"/>
    <n v="2"/>
    <n v="8"/>
    <s v="E-Wallet"/>
    <s v="Dine-In"/>
    <n v="16"/>
  </r>
  <r>
    <s v="2026-08-24"/>
    <n v="2026"/>
    <x v="0"/>
    <s v="Monday"/>
    <s v="13:34:00"/>
    <n v="13"/>
    <x v="0"/>
    <s v="Coffee"/>
    <n v="1"/>
    <n v="15"/>
    <s v="Cash"/>
    <s v="Dine-In"/>
    <n v="15"/>
  </r>
  <r>
    <s v="2026-08-24"/>
    <n v="2026"/>
    <x v="0"/>
    <s v="Monday"/>
    <s v="14:10:00"/>
    <n v="14"/>
    <x v="2"/>
    <s v="Non-Coffee"/>
    <n v="1"/>
    <n v="14"/>
    <s v="Card"/>
    <s v="Dine-In"/>
    <n v="14"/>
  </r>
  <r>
    <s v="2026-08-24"/>
    <n v="2026"/>
    <x v="0"/>
    <s v="Monday"/>
    <s v="14:18:00"/>
    <n v="14"/>
    <x v="9"/>
    <s v="Coffee"/>
    <n v="1"/>
    <n v="14"/>
    <s v="Card"/>
    <s v="Takeaway"/>
    <n v="14"/>
  </r>
  <r>
    <s v="2026-08-24"/>
    <n v="2026"/>
    <x v="0"/>
    <s v="Monday"/>
    <s v="15:40:00"/>
    <n v="15"/>
    <x v="6"/>
    <s v="Coffee"/>
    <n v="1"/>
    <n v="7"/>
    <s v="E-Wallet"/>
    <s v="Takeaway"/>
    <n v="7"/>
  </r>
  <r>
    <s v="2026-08-24"/>
    <n v="2026"/>
    <x v="0"/>
    <s v="Monday"/>
    <s v="16:35:00"/>
    <n v="16"/>
    <x v="11"/>
    <s v="Dessert"/>
    <n v="1"/>
    <n v="16"/>
    <s v="E-Wallet"/>
    <s v="Dine-In"/>
    <n v="16"/>
  </r>
  <r>
    <s v="2026-08-24"/>
    <n v="2026"/>
    <x v="0"/>
    <s v="Monday"/>
    <s v="17:16:00"/>
    <n v="17"/>
    <x v="4"/>
    <s v="Coffee"/>
    <n v="1"/>
    <n v="13"/>
    <s v="E-Wallet"/>
    <s v="Takeaway"/>
    <n v="13"/>
  </r>
  <r>
    <s v="2026-08-24"/>
    <n v="2026"/>
    <x v="0"/>
    <s v="Monday"/>
    <s v="17:22:00"/>
    <n v="17"/>
    <x v="1"/>
    <s v="Coffee"/>
    <n v="1"/>
    <n v="12"/>
    <s v="E-Wallet"/>
    <s v="Dine-In"/>
    <n v="12"/>
  </r>
  <r>
    <s v="2026-08-24"/>
    <n v="2026"/>
    <x v="0"/>
    <s v="Monday"/>
    <s v="18:46:00"/>
    <n v="18"/>
    <x v="10"/>
    <s v="Non-Coffee"/>
    <n v="1"/>
    <n v="12"/>
    <s v="E-Wallet"/>
    <s v="Takeaway"/>
    <n v="12"/>
  </r>
  <r>
    <s v="2026-08-24"/>
    <n v="2026"/>
    <x v="0"/>
    <s v="Monday"/>
    <s v="19:45:00"/>
    <n v="19"/>
    <x v="2"/>
    <s v="Non-Coffee"/>
    <n v="2"/>
    <n v="14"/>
    <s v="Cash"/>
    <s v="Dine-In"/>
    <n v="28"/>
  </r>
  <r>
    <s v="2026-08-25"/>
    <n v="2026"/>
    <x v="0"/>
    <s v="Tuesday"/>
    <s v="08:29:00"/>
    <n v="8"/>
    <x v="10"/>
    <s v="Non-Coffee"/>
    <n v="1"/>
    <n v="12"/>
    <s v="E-Wallet"/>
    <s v="Dine-In"/>
    <n v="12"/>
  </r>
  <r>
    <s v="2026-08-25"/>
    <n v="2026"/>
    <x v="0"/>
    <s v="Tuesday"/>
    <s v="08:49:00"/>
    <n v="8"/>
    <x v="0"/>
    <s v="Coffee"/>
    <n v="1"/>
    <n v="15"/>
    <s v="Cash"/>
    <s v="Takeaway"/>
    <n v="15"/>
  </r>
  <r>
    <s v="2026-08-25"/>
    <n v="2026"/>
    <x v="0"/>
    <s v="Tuesday"/>
    <s v="10:41:00"/>
    <n v="10"/>
    <x v="6"/>
    <s v="Coffee"/>
    <n v="1"/>
    <n v="7"/>
    <s v="E-Wallet"/>
    <s v="Takeaway"/>
    <n v="7"/>
  </r>
  <r>
    <s v="2026-08-25"/>
    <n v="2026"/>
    <x v="0"/>
    <s v="Tuesday"/>
    <s v="10:46:00"/>
    <n v="10"/>
    <x v="7"/>
    <s v="Pastry"/>
    <n v="2"/>
    <n v="8"/>
    <s v="Cash"/>
    <s v="Dine-In"/>
    <n v="16"/>
  </r>
  <r>
    <s v="2026-08-25"/>
    <n v="2026"/>
    <x v="0"/>
    <s v="Tuesday"/>
    <s v="11:20:00"/>
    <n v="11"/>
    <x v="9"/>
    <s v="Coffee"/>
    <n v="1"/>
    <n v="14"/>
    <s v="E-Wallet"/>
    <s v="Dine-In"/>
    <n v="14"/>
  </r>
  <r>
    <s v="2026-08-25"/>
    <n v="2026"/>
    <x v="0"/>
    <s v="Tuesday"/>
    <s v="12:02:00"/>
    <n v="12"/>
    <x v="5"/>
    <s v="Coffee"/>
    <n v="1"/>
    <n v="9"/>
    <s v="Cash"/>
    <s v="Takeaway"/>
    <n v="9"/>
  </r>
  <r>
    <s v="2026-08-25"/>
    <n v="2026"/>
    <x v="0"/>
    <s v="Tuesday"/>
    <s v="12:20:00"/>
    <n v="12"/>
    <x v="5"/>
    <s v="Coffee"/>
    <n v="1"/>
    <n v="9"/>
    <s v="Card"/>
    <s v="Dine-In"/>
    <n v="9"/>
  </r>
  <r>
    <s v="2026-08-25"/>
    <n v="2026"/>
    <x v="0"/>
    <s v="Tuesday"/>
    <s v="13:16:00"/>
    <n v="13"/>
    <x v="5"/>
    <s v="Coffee"/>
    <n v="1"/>
    <n v="9"/>
    <s v="Cash"/>
    <s v="Takeaway"/>
    <n v="9"/>
  </r>
  <r>
    <s v="2026-08-25"/>
    <n v="2026"/>
    <x v="0"/>
    <s v="Tuesday"/>
    <s v="13:51:00"/>
    <n v="13"/>
    <x v="8"/>
    <s v="Dessert"/>
    <n v="1"/>
    <n v="10"/>
    <s v="E-Wallet"/>
    <s v="Dine-In"/>
    <n v="10"/>
  </r>
  <r>
    <s v="2026-08-25"/>
    <n v="2026"/>
    <x v="0"/>
    <s v="Tuesday"/>
    <s v="14:00:00"/>
    <n v="14"/>
    <x v="6"/>
    <s v="Coffee"/>
    <n v="2"/>
    <n v="7"/>
    <s v="E-Wallet"/>
    <s v="Dine-In"/>
    <n v="14"/>
  </r>
  <r>
    <s v="2026-08-25"/>
    <n v="2026"/>
    <x v="0"/>
    <s v="Tuesday"/>
    <s v="14:14:00"/>
    <n v="14"/>
    <x v="9"/>
    <s v="Coffee"/>
    <n v="2"/>
    <n v="14"/>
    <s v="Cash"/>
    <s v="Dine-In"/>
    <n v="28"/>
  </r>
  <r>
    <s v="2026-08-25"/>
    <n v="2026"/>
    <x v="0"/>
    <s v="Tuesday"/>
    <s v="14:41:00"/>
    <n v="14"/>
    <x v="0"/>
    <s v="Coffee"/>
    <n v="1"/>
    <n v="15"/>
    <s v="Cash"/>
    <s v="Takeaway"/>
    <n v="15"/>
  </r>
  <r>
    <s v="2026-08-25"/>
    <n v="2026"/>
    <x v="0"/>
    <s v="Tuesday"/>
    <s v="16:25:00"/>
    <n v="16"/>
    <x v="3"/>
    <s v="Pastry"/>
    <n v="1"/>
    <n v="9"/>
    <s v="E-Wallet"/>
    <s v="Dine-In"/>
    <n v="9"/>
  </r>
  <r>
    <s v="2026-08-25"/>
    <n v="2026"/>
    <x v="0"/>
    <s v="Tuesday"/>
    <s v="19:18:00"/>
    <n v="19"/>
    <x v="5"/>
    <s v="Coffee"/>
    <n v="3"/>
    <n v="9"/>
    <s v="Card"/>
    <s v="Dine-In"/>
    <n v="27"/>
  </r>
  <r>
    <s v="2026-08-26"/>
    <n v="2026"/>
    <x v="0"/>
    <s v="Wednesday"/>
    <s v="09:08:00"/>
    <n v="9"/>
    <x v="6"/>
    <s v="Coffee"/>
    <n v="1"/>
    <n v="7"/>
    <s v="E-Wallet"/>
    <s v="Dine-In"/>
    <n v="7"/>
  </r>
  <r>
    <s v="2026-08-26"/>
    <n v="2026"/>
    <x v="0"/>
    <s v="Wednesday"/>
    <s v="09:48:00"/>
    <n v="9"/>
    <x v="4"/>
    <s v="Coffee"/>
    <n v="1"/>
    <n v="13"/>
    <s v="E-Wallet"/>
    <s v="Dine-In"/>
    <n v="13"/>
  </r>
  <r>
    <s v="2026-08-26"/>
    <n v="2026"/>
    <x v="0"/>
    <s v="Wednesday"/>
    <s v="10:12:00"/>
    <n v="10"/>
    <x v="3"/>
    <s v="Pastry"/>
    <n v="1"/>
    <n v="9"/>
    <s v="E-Wallet"/>
    <s v="Takeaway"/>
    <n v="9"/>
  </r>
  <r>
    <s v="2026-08-26"/>
    <n v="2026"/>
    <x v="0"/>
    <s v="Wednesday"/>
    <s v="10:17:00"/>
    <n v="10"/>
    <x v="4"/>
    <s v="Coffee"/>
    <n v="1"/>
    <n v="13"/>
    <s v="E-Wallet"/>
    <s v="Dine-In"/>
    <n v="13"/>
  </r>
  <r>
    <s v="2026-08-26"/>
    <n v="2026"/>
    <x v="0"/>
    <s v="Wednesday"/>
    <s v="10:28:00"/>
    <n v="10"/>
    <x v="2"/>
    <s v="Non-Coffee"/>
    <n v="1"/>
    <n v="14"/>
    <s v="Cash"/>
    <s v="Takeaway"/>
    <n v="14"/>
  </r>
  <r>
    <s v="2026-08-26"/>
    <n v="2026"/>
    <x v="0"/>
    <s v="Wednesday"/>
    <s v="10:40:00"/>
    <n v="10"/>
    <x v="9"/>
    <s v="Coffee"/>
    <n v="1"/>
    <n v="14"/>
    <s v="E-Wallet"/>
    <s v="Dine-In"/>
    <n v="14"/>
  </r>
  <r>
    <s v="2026-08-26"/>
    <n v="2026"/>
    <x v="0"/>
    <s v="Wednesday"/>
    <s v="12:53:00"/>
    <n v="12"/>
    <x v="5"/>
    <s v="Coffee"/>
    <n v="1"/>
    <n v="9"/>
    <s v="Card"/>
    <s v="Takeaway"/>
    <n v="9"/>
  </r>
  <r>
    <s v="2026-08-26"/>
    <n v="2026"/>
    <x v="0"/>
    <s v="Wednesday"/>
    <s v="16:07:00"/>
    <n v="16"/>
    <x v="4"/>
    <s v="Coffee"/>
    <n v="2"/>
    <n v="13"/>
    <s v="Cash"/>
    <s v="Takeaway"/>
    <n v="26"/>
  </r>
  <r>
    <s v="2026-08-26"/>
    <n v="2026"/>
    <x v="0"/>
    <s v="Wednesday"/>
    <s v="16:41:00"/>
    <n v="16"/>
    <x v="1"/>
    <s v="Coffee"/>
    <n v="1"/>
    <n v="12"/>
    <s v="Card"/>
    <s v="Takeaway"/>
    <n v="12"/>
  </r>
  <r>
    <s v="2026-08-26"/>
    <n v="2026"/>
    <x v="0"/>
    <s v="Wednesday"/>
    <s v="16:53:00"/>
    <n v="16"/>
    <x v="1"/>
    <s v="Coffee"/>
    <n v="1"/>
    <n v="12"/>
    <s v="E-Wallet"/>
    <s v="Dine-In"/>
    <n v="12"/>
  </r>
  <r>
    <s v="2026-08-26"/>
    <n v="2026"/>
    <x v="0"/>
    <s v="Wednesday"/>
    <s v="17:37:00"/>
    <n v="17"/>
    <x v="8"/>
    <s v="Dessert"/>
    <n v="2"/>
    <n v="10"/>
    <s v="E-Wallet"/>
    <s v="Dine-In"/>
    <n v="20"/>
  </r>
  <r>
    <s v="2026-08-26"/>
    <n v="2026"/>
    <x v="0"/>
    <s v="Wednesday"/>
    <s v="17:38:00"/>
    <n v="17"/>
    <x v="9"/>
    <s v="Coffee"/>
    <n v="2"/>
    <n v="14"/>
    <s v="Card"/>
    <s v="Takeaway"/>
    <n v="28"/>
  </r>
  <r>
    <s v="2026-08-26"/>
    <n v="2026"/>
    <x v="0"/>
    <s v="Wednesday"/>
    <s v="18:13:00"/>
    <n v="18"/>
    <x v="9"/>
    <s v="Coffee"/>
    <n v="2"/>
    <n v="14"/>
    <s v="E-Wallet"/>
    <s v="Dine-In"/>
    <n v="28"/>
  </r>
  <r>
    <s v="2026-08-26"/>
    <n v="2026"/>
    <x v="0"/>
    <s v="Wednesday"/>
    <s v="18:35:00"/>
    <n v="18"/>
    <x v="5"/>
    <s v="Coffee"/>
    <n v="1"/>
    <n v="9"/>
    <s v="Cash"/>
    <s v="Takeaway"/>
    <n v="9"/>
  </r>
  <r>
    <s v="2026-08-26"/>
    <n v="2026"/>
    <x v="0"/>
    <s v="Wednesday"/>
    <s v="19:25:00"/>
    <n v="19"/>
    <x v="7"/>
    <s v="Pastry"/>
    <n v="1"/>
    <n v="8"/>
    <s v="Card"/>
    <s v="Takeaway"/>
    <n v="8"/>
  </r>
  <r>
    <s v="2026-08-27"/>
    <n v="2026"/>
    <x v="0"/>
    <s v="Thursday"/>
    <s v="10:03:00"/>
    <n v="10"/>
    <x v="7"/>
    <s v="Pastry"/>
    <n v="1"/>
    <n v="8"/>
    <s v="Cash"/>
    <s v="Takeaway"/>
    <n v="8"/>
  </r>
  <r>
    <s v="2026-08-27"/>
    <n v="2026"/>
    <x v="0"/>
    <s v="Thursday"/>
    <s v="10:55:00"/>
    <n v="10"/>
    <x v="6"/>
    <s v="Coffee"/>
    <n v="1"/>
    <n v="7"/>
    <s v="E-Wallet"/>
    <s v="Takeaway"/>
    <n v="7"/>
  </r>
  <r>
    <s v="2026-08-27"/>
    <n v="2026"/>
    <x v="0"/>
    <s v="Thursday"/>
    <s v="11:36:00"/>
    <n v="11"/>
    <x v="9"/>
    <s v="Coffee"/>
    <n v="1"/>
    <n v="14"/>
    <s v="Card"/>
    <s v="Takeaway"/>
    <n v="14"/>
  </r>
  <r>
    <s v="2026-08-27"/>
    <n v="2026"/>
    <x v="0"/>
    <s v="Thursday"/>
    <s v="11:49:00"/>
    <n v="11"/>
    <x v="2"/>
    <s v="Non-Coffee"/>
    <n v="2"/>
    <n v="14"/>
    <s v="E-Wallet"/>
    <s v="Takeaway"/>
    <n v="28"/>
  </r>
  <r>
    <s v="2026-08-27"/>
    <n v="2026"/>
    <x v="0"/>
    <s v="Thursday"/>
    <s v="12:19:00"/>
    <n v="12"/>
    <x v="5"/>
    <s v="Coffee"/>
    <n v="1"/>
    <n v="9"/>
    <s v="E-Wallet"/>
    <s v="Dine-In"/>
    <n v="9"/>
  </r>
  <r>
    <s v="2026-08-27"/>
    <n v="2026"/>
    <x v="0"/>
    <s v="Thursday"/>
    <s v="12:24:00"/>
    <n v="12"/>
    <x v="5"/>
    <s v="Coffee"/>
    <n v="2"/>
    <n v="9"/>
    <s v="E-Wallet"/>
    <s v="Dine-In"/>
    <n v="18"/>
  </r>
  <r>
    <s v="2026-08-27"/>
    <n v="2026"/>
    <x v="0"/>
    <s v="Thursday"/>
    <s v="14:48:00"/>
    <n v="14"/>
    <x v="8"/>
    <s v="Dessert"/>
    <n v="1"/>
    <n v="10"/>
    <s v="E-Wallet"/>
    <s v="Takeaway"/>
    <n v="10"/>
  </r>
  <r>
    <s v="2026-08-27"/>
    <n v="2026"/>
    <x v="0"/>
    <s v="Thursday"/>
    <s v="14:50:00"/>
    <n v="14"/>
    <x v="10"/>
    <s v="Non-Coffee"/>
    <n v="2"/>
    <n v="12"/>
    <s v="E-Wallet"/>
    <s v="Dine-In"/>
    <n v="24"/>
  </r>
  <r>
    <s v="2026-08-27"/>
    <n v="2026"/>
    <x v="0"/>
    <s v="Thursday"/>
    <s v="15:54:00"/>
    <n v="15"/>
    <x v="7"/>
    <s v="Pastry"/>
    <n v="1"/>
    <n v="8"/>
    <s v="Card"/>
    <s v="Takeaway"/>
    <n v="8"/>
  </r>
  <r>
    <s v="2026-08-27"/>
    <n v="2026"/>
    <x v="0"/>
    <s v="Thursday"/>
    <s v="19:10:00"/>
    <n v="19"/>
    <x v="0"/>
    <s v="Coffee"/>
    <n v="1"/>
    <n v="15"/>
    <s v="E-Wallet"/>
    <s v="Takeaway"/>
    <n v="15"/>
  </r>
  <r>
    <s v="2026-08-27"/>
    <n v="2026"/>
    <x v="0"/>
    <s v="Thursday"/>
    <s v="19:27:00"/>
    <n v="19"/>
    <x v="11"/>
    <s v="Dessert"/>
    <n v="1"/>
    <n v="16"/>
    <s v="Card"/>
    <s v="Takeaway"/>
    <n v="16"/>
  </r>
  <r>
    <s v="2026-08-27"/>
    <n v="2026"/>
    <x v="0"/>
    <s v="Thursday"/>
    <s v="19:34:00"/>
    <n v="19"/>
    <x v="6"/>
    <s v="Coffee"/>
    <n v="1"/>
    <n v="7"/>
    <s v="E-Wallet"/>
    <s v="Dine-In"/>
    <n v="7"/>
  </r>
  <r>
    <s v="2026-08-27"/>
    <n v="2026"/>
    <x v="0"/>
    <s v="Thursday"/>
    <s v="19:35:00"/>
    <n v="19"/>
    <x v="0"/>
    <s v="Coffee"/>
    <n v="1"/>
    <n v="15"/>
    <s v="Card"/>
    <s v="Dine-In"/>
    <n v="15"/>
  </r>
  <r>
    <s v="2026-08-28"/>
    <n v="2026"/>
    <x v="0"/>
    <s v="Friday"/>
    <s v="08:03:00"/>
    <n v="8"/>
    <x v="7"/>
    <s v="Pastry"/>
    <n v="3"/>
    <n v="8"/>
    <s v="Cash"/>
    <s v="Dine-In"/>
    <n v="24"/>
  </r>
  <r>
    <s v="2026-08-28"/>
    <n v="2026"/>
    <x v="0"/>
    <s v="Friday"/>
    <s v="09:22:00"/>
    <n v="9"/>
    <x v="4"/>
    <s v="Coffee"/>
    <n v="2"/>
    <n v="13"/>
    <s v="Card"/>
    <s v="Dine-In"/>
    <n v="26"/>
  </r>
  <r>
    <s v="2026-08-28"/>
    <n v="2026"/>
    <x v="0"/>
    <s v="Friday"/>
    <s v="10:52:00"/>
    <n v="10"/>
    <x v="5"/>
    <s v="Coffee"/>
    <n v="2"/>
    <n v="9"/>
    <s v="Card"/>
    <s v="Dine-In"/>
    <n v="18"/>
  </r>
  <r>
    <s v="2026-08-28"/>
    <n v="2026"/>
    <x v="0"/>
    <s v="Friday"/>
    <s v="12:39:00"/>
    <n v="12"/>
    <x v="3"/>
    <s v="Pastry"/>
    <n v="1"/>
    <n v="9"/>
    <s v="E-Wallet"/>
    <s v="Takeaway"/>
    <n v="9"/>
  </r>
  <r>
    <s v="2026-08-28"/>
    <n v="2026"/>
    <x v="0"/>
    <s v="Friday"/>
    <s v="14:25:00"/>
    <n v="14"/>
    <x v="2"/>
    <s v="Non-Coffee"/>
    <n v="1"/>
    <n v="14"/>
    <s v="E-Wallet"/>
    <s v="Dine-In"/>
    <n v="14"/>
  </r>
  <r>
    <s v="2026-08-28"/>
    <n v="2026"/>
    <x v="0"/>
    <s v="Friday"/>
    <s v="15:45:00"/>
    <n v="15"/>
    <x v="4"/>
    <s v="Coffee"/>
    <n v="1"/>
    <n v="13"/>
    <s v="Card"/>
    <s v="Dine-In"/>
    <n v="13"/>
  </r>
  <r>
    <s v="2026-08-28"/>
    <n v="2026"/>
    <x v="0"/>
    <s v="Friday"/>
    <s v="15:55:00"/>
    <n v="15"/>
    <x v="1"/>
    <s v="Coffee"/>
    <n v="1"/>
    <n v="12"/>
    <s v="E-Wallet"/>
    <s v="Takeaway"/>
    <n v="12"/>
  </r>
  <r>
    <s v="2026-08-28"/>
    <n v="2026"/>
    <x v="0"/>
    <s v="Friday"/>
    <s v="17:27:00"/>
    <n v="17"/>
    <x v="9"/>
    <s v="Coffee"/>
    <n v="1"/>
    <n v="14"/>
    <s v="Card"/>
    <s v="Dine-In"/>
    <n v="14"/>
  </r>
  <r>
    <s v="2026-08-28"/>
    <n v="2026"/>
    <x v="0"/>
    <s v="Friday"/>
    <s v="17:41:00"/>
    <n v="17"/>
    <x v="4"/>
    <s v="Coffee"/>
    <n v="1"/>
    <n v="13"/>
    <s v="E-Wallet"/>
    <s v="Dine-In"/>
    <n v="13"/>
  </r>
  <r>
    <s v="2026-08-28"/>
    <n v="2026"/>
    <x v="0"/>
    <s v="Friday"/>
    <s v="19:06:00"/>
    <n v="19"/>
    <x v="4"/>
    <s v="Coffee"/>
    <n v="2"/>
    <n v="13"/>
    <s v="Card"/>
    <s v="Takeaway"/>
    <n v="26"/>
  </r>
  <r>
    <s v="2026-08-29"/>
    <n v="2026"/>
    <x v="0"/>
    <s v="Saturday"/>
    <s v="08:56:00"/>
    <n v="8"/>
    <x v="4"/>
    <s v="Coffee"/>
    <n v="1"/>
    <n v="13"/>
    <s v="Cash"/>
    <s v="Takeaway"/>
    <n v="13"/>
  </r>
  <r>
    <s v="2026-08-29"/>
    <n v="2026"/>
    <x v="0"/>
    <s v="Saturday"/>
    <s v="09:25:00"/>
    <n v="9"/>
    <x v="4"/>
    <s v="Coffee"/>
    <n v="1"/>
    <n v="13"/>
    <s v="E-Wallet"/>
    <s v="Takeaway"/>
    <n v="13"/>
  </r>
  <r>
    <s v="2026-08-29"/>
    <n v="2026"/>
    <x v="0"/>
    <s v="Saturday"/>
    <s v="10:27:00"/>
    <n v="10"/>
    <x v="11"/>
    <s v="Dessert"/>
    <n v="1"/>
    <n v="16"/>
    <s v="E-Wallet"/>
    <s v="Dine-In"/>
    <n v="16"/>
  </r>
  <r>
    <s v="2026-08-29"/>
    <n v="2026"/>
    <x v="0"/>
    <s v="Saturday"/>
    <s v="12:18:00"/>
    <n v="12"/>
    <x v="0"/>
    <s v="Coffee"/>
    <n v="2"/>
    <n v="15"/>
    <s v="E-Wallet"/>
    <s v="Dine-In"/>
    <n v="30"/>
  </r>
  <r>
    <s v="2026-08-29"/>
    <n v="2026"/>
    <x v="0"/>
    <s v="Saturday"/>
    <s v="13:15:00"/>
    <n v="13"/>
    <x v="5"/>
    <s v="Coffee"/>
    <n v="2"/>
    <n v="9"/>
    <s v="Cash"/>
    <s v="Takeaway"/>
    <n v="18"/>
  </r>
  <r>
    <s v="2026-08-29"/>
    <n v="2026"/>
    <x v="0"/>
    <s v="Saturday"/>
    <s v="13:26:00"/>
    <n v="13"/>
    <x v="8"/>
    <s v="Dessert"/>
    <n v="1"/>
    <n v="10"/>
    <s v="E-Wallet"/>
    <s v="Dine-In"/>
    <n v="10"/>
  </r>
  <r>
    <s v="2026-08-29"/>
    <n v="2026"/>
    <x v="0"/>
    <s v="Saturday"/>
    <s v="14:46:00"/>
    <n v="14"/>
    <x v="8"/>
    <s v="Dessert"/>
    <n v="1"/>
    <n v="10"/>
    <s v="Card"/>
    <s v="Takeaway"/>
    <n v="10"/>
  </r>
  <r>
    <s v="2026-08-29"/>
    <n v="2026"/>
    <x v="0"/>
    <s v="Saturday"/>
    <s v="16:53:00"/>
    <n v="16"/>
    <x v="1"/>
    <s v="Coffee"/>
    <n v="1"/>
    <n v="12"/>
    <s v="Cash"/>
    <s v="Dine-In"/>
    <n v="12"/>
  </r>
  <r>
    <s v="2026-08-30"/>
    <n v="2026"/>
    <x v="0"/>
    <s v="Sunday"/>
    <s v="09:35:00"/>
    <n v="9"/>
    <x v="9"/>
    <s v="Coffee"/>
    <n v="1"/>
    <n v="14"/>
    <s v="E-Wallet"/>
    <s v="Takeaway"/>
    <n v="14"/>
  </r>
  <r>
    <s v="2026-08-30"/>
    <n v="2026"/>
    <x v="0"/>
    <s v="Sunday"/>
    <s v="10:31:00"/>
    <n v="10"/>
    <x v="9"/>
    <s v="Coffee"/>
    <n v="2"/>
    <n v="14"/>
    <s v="E-Wallet"/>
    <s v="Takeaway"/>
    <n v="28"/>
  </r>
  <r>
    <s v="2026-08-30"/>
    <n v="2026"/>
    <x v="0"/>
    <s v="Sunday"/>
    <s v="10:49:00"/>
    <n v="10"/>
    <x v="5"/>
    <s v="Coffee"/>
    <n v="2"/>
    <n v="9"/>
    <s v="E-Wallet"/>
    <s v="Dine-In"/>
    <n v="18"/>
  </r>
  <r>
    <s v="2026-08-30"/>
    <n v="2026"/>
    <x v="0"/>
    <s v="Sunday"/>
    <s v="11:01:00"/>
    <n v="11"/>
    <x v="1"/>
    <s v="Coffee"/>
    <n v="1"/>
    <n v="12"/>
    <s v="E-Wallet"/>
    <s v="Dine-In"/>
    <n v="12"/>
  </r>
  <r>
    <s v="2026-08-30"/>
    <n v="2026"/>
    <x v="0"/>
    <s v="Sunday"/>
    <s v="11:48:00"/>
    <n v="11"/>
    <x v="4"/>
    <s v="Coffee"/>
    <n v="1"/>
    <n v="13"/>
    <s v="Card"/>
    <s v="Dine-In"/>
    <n v="13"/>
  </r>
  <r>
    <s v="2026-08-30"/>
    <n v="2026"/>
    <x v="0"/>
    <s v="Sunday"/>
    <s v="12:19:00"/>
    <n v="12"/>
    <x v="8"/>
    <s v="Dessert"/>
    <n v="1"/>
    <n v="10"/>
    <s v="Card"/>
    <s v="Dine-In"/>
    <n v="10"/>
  </r>
  <r>
    <s v="2026-08-30"/>
    <n v="2026"/>
    <x v="0"/>
    <s v="Sunday"/>
    <s v="12:32:00"/>
    <n v="12"/>
    <x v="4"/>
    <s v="Coffee"/>
    <n v="1"/>
    <n v="13"/>
    <s v="Card"/>
    <s v="Takeaway"/>
    <n v="13"/>
  </r>
  <r>
    <s v="2026-08-30"/>
    <n v="2026"/>
    <x v="0"/>
    <s v="Sunday"/>
    <s v="12:51:00"/>
    <n v="12"/>
    <x v="0"/>
    <s v="Coffee"/>
    <n v="2"/>
    <n v="15"/>
    <s v="E-Wallet"/>
    <s v="Takeaway"/>
    <n v="30"/>
  </r>
  <r>
    <s v="2026-08-30"/>
    <n v="2026"/>
    <x v="0"/>
    <s v="Sunday"/>
    <s v="13:49:00"/>
    <n v="13"/>
    <x v="1"/>
    <s v="Coffee"/>
    <n v="1"/>
    <n v="12"/>
    <s v="E-Wallet"/>
    <s v="Dine-In"/>
    <n v="12"/>
  </r>
  <r>
    <s v="2026-08-30"/>
    <n v="2026"/>
    <x v="0"/>
    <s v="Sunday"/>
    <s v="14:13:00"/>
    <n v="14"/>
    <x v="2"/>
    <s v="Non-Coffee"/>
    <n v="1"/>
    <n v="14"/>
    <s v="E-Wallet"/>
    <s v="Takeaway"/>
    <n v="14"/>
  </r>
  <r>
    <s v="2026-08-30"/>
    <n v="2026"/>
    <x v="0"/>
    <s v="Sunday"/>
    <s v="14:19:00"/>
    <n v="14"/>
    <x v="6"/>
    <s v="Coffee"/>
    <n v="2"/>
    <n v="7"/>
    <s v="E-Wallet"/>
    <s v="Dine-In"/>
    <n v="14"/>
  </r>
  <r>
    <s v="2026-08-30"/>
    <n v="2026"/>
    <x v="0"/>
    <s v="Sunday"/>
    <s v="16:32:00"/>
    <n v="16"/>
    <x v="8"/>
    <s v="Dessert"/>
    <n v="1"/>
    <n v="10"/>
    <s v="Card"/>
    <s v="Takeaway"/>
    <n v="10"/>
  </r>
  <r>
    <s v="2026-08-30"/>
    <n v="2026"/>
    <x v="0"/>
    <s v="Sunday"/>
    <s v="16:41:00"/>
    <n v="16"/>
    <x v="2"/>
    <s v="Non-Coffee"/>
    <n v="1"/>
    <n v="14"/>
    <s v="E-Wallet"/>
    <s v="Dine-In"/>
    <n v="14"/>
  </r>
  <r>
    <s v="2026-08-30"/>
    <n v="2026"/>
    <x v="0"/>
    <s v="Sunday"/>
    <s v="17:08:00"/>
    <n v="17"/>
    <x v="11"/>
    <s v="Dessert"/>
    <n v="2"/>
    <n v="16"/>
    <s v="Card"/>
    <s v="Dine-In"/>
    <n v="32"/>
  </r>
  <r>
    <s v="2026-08-30"/>
    <n v="2026"/>
    <x v="0"/>
    <s v="Sunday"/>
    <s v="17:21:00"/>
    <n v="17"/>
    <x v="10"/>
    <s v="Non-Coffee"/>
    <n v="2"/>
    <n v="12"/>
    <s v="Card"/>
    <s v="Takeaway"/>
    <n v="24"/>
  </r>
  <r>
    <s v="2026-08-30"/>
    <n v="2026"/>
    <x v="0"/>
    <s v="Sunday"/>
    <s v="17:45:00"/>
    <n v="17"/>
    <x v="9"/>
    <s v="Coffee"/>
    <n v="2"/>
    <n v="14"/>
    <s v="Card"/>
    <s v="Takeaway"/>
    <n v="28"/>
  </r>
  <r>
    <s v="2026-08-30"/>
    <n v="2026"/>
    <x v="0"/>
    <s v="Sunday"/>
    <s v="18:37:00"/>
    <n v="18"/>
    <x v="8"/>
    <s v="Dessert"/>
    <n v="1"/>
    <n v="10"/>
    <s v="E-Wallet"/>
    <s v="Takeaway"/>
    <n v="10"/>
  </r>
  <r>
    <s v="2026-08-30"/>
    <n v="2026"/>
    <x v="0"/>
    <s v="Sunday"/>
    <s v="18:57:00"/>
    <n v="18"/>
    <x v="6"/>
    <s v="Coffee"/>
    <n v="1"/>
    <n v="7"/>
    <s v="Cash"/>
    <s v="Dine-In"/>
    <n v="7"/>
  </r>
  <r>
    <s v="2026-08-31"/>
    <n v="2026"/>
    <x v="0"/>
    <s v="Monday"/>
    <s v="11:05:00"/>
    <n v="11"/>
    <x v="2"/>
    <s v="Non-Coffee"/>
    <n v="1"/>
    <n v="14"/>
    <s v="E-Wallet"/>
    <s v="Dine-In"/>
    <n v="14"/>
  </r>
  <r>
    <s v="2026-08-31"/>
    <n v="2026"/>
    <x v="0"/>
    <s v="Monday"/>
    <s v="11:13:00"/>
    <n v="11"/>
    <x v="2"/>
    <s v="Non-Coffee"/>
    <n v="1"/>
    <n v="14"/>
    <s v="E-Wallet"/>
    <s v="Dine-In"/>
    <n v="14"/>
  </r>
  <r>
    <s v="2026-08-31"/>
    <n v="2026"/>
    <x v="0"/>
    <s v="Monday"/>
    <s v="11:19:00"/>
    <n v="11"/>
    <x v="0"/>
    <s v="Coffee"/>
    <n v="1"/>
    <n v="15"/>
    <s v="E-Wallet"/>
    <s v="Takeaway"/>
    <n v="15"/>
  </r>
  <r>
    <s v="2026-08-31"/>
    <n v="2026"/>
    <x v="0"/>
    <s v="Monday"/>
    <s v="11:26:00"/>
    <n v="11"/>
    <x v="9"/>
    <s v="Coffee"/>
    <n v="1"/>
    <n v="14"/>
    <s v="Card"/>
    <s v="Dine-In"/>
    <n v="14"/>
  </r>
  <r>
    <s v="2026-08-31"/>
    <n v="2026"/>
    <x v="0"/>
    <s v="Monday"/>
    <s v="12:01:00"/>
    <n v="12"/>
    <x v="1"/>
    <s v="Coffee"/>
    <n v="2"/>
    <n v="12"/>
    <s v="Cash"/>
    <s v="Dine-In"/>
    <n v="24"/>
  </r>
  <r>
    <s v="2026-08-31"/>
    <n v="2026"/>
    <x v="0"/>
    <s v="Monday"/>
    <s v="12:57:00"/>
    <n v="12"/>
    <x v="5"/>
    <s v="Coffee"/>
    <n v="1"/>
    <n v="9"/>
    <s v="E-Wallet"/>
    <s v="Takeaway"/>
    <n v="9"/>
  </r>
  <r>
    <s v="2026-08-31"/>
    <n v="2026"/>
    <x v="0"/>
    <s v="Monday"/>
    <s v="15:58:00"/>
    <n v="15"/>
    <x v="0"/>
    <s v="Coffee"/>
    <n v="1"/>
    <n v="15"/>
    <s v="E-Wallet"/>
    <s v="Takeaway"/>
    <n v="15"/>
  </r>
  <r>
    <s v="2026-08-31"/>
    <n v="2026"/>
    <x v="0"/>
    <s v="Monday"/>
    <s v="17:08:00"/>
    <n v="17"/>
    <x v="4"/>
    <s v="Coffee"/>
    <n v="1"/>
    <n v="13"/>
    <s v="Card"/>
    <s v="Dine-In"/>
    <n v="13"/>
  </r>
  <r>
    <s v="2026-08-31"/>
    <n v="2026"/>
    <x v="0"/>
    <s v="Monday"/>
    <s v="17:12:00"/>
    <n v="17"/>
    <x v="9"/>
    <s v="Coffee"/>
    <n v="4"/>
    <n v="14"/>
    <s v="E-Wallet"/>
    <s v="Dine-In"/>
    <n v="56"/>
  </r>
  <r>
    <s v="2026-08-31"/>
    <n v="2026"/>
    <x v="0"/>
    <s v="Monday"/>
    <s v="17:31:00"/>
    <n v="17"/>
    <x v="0"/>
    <s v="Coffee"/>
    <n v="1"/>
    <n v="15"/>
    <s v="Cash"/>
    <s v="Dine-In"/>
    <n v="15"/>
  </r>
  <r>
    <s v="2026-08-31"/>
    <n v="2026"/>
    <x v="0"/>
    <s v="Monday"/>
    <s v="17:35:00"/>
    <n v="17"/>
    <x v="11"/>
    <s v="Dessert"/>
    <n v="3"/>
    <n v="16"/>
    <s v="E-Wallet"/>
    <s v="Takeaway"/>
    <n v="48"/>
  </r>
  <r>
    <s v="2026-08-31"/>
    <n v="2026"/>
    <x v="0"/>
    <s v="Monday"/>
    <s v="17:36:00"/>
    <n v="17"/>
    <x v="10"/>
    <s v="Non-Coffee"/>
    <n v="1"/>
    <n v="12"/>
    <s v="Cash"/>
    <s v="Takeaway"/>
    <n v="12"/>
  </r>
  <r>
    <s v="2026-08-31"/>
    <n v="2026"/>
    <x v="0"/>
    <s v="Monday"/>
    <s v="18:10:00"/>
    <n v="18"/>
    <x v="11"/>
    <s v="Dessert"/>
    <n v="1"/>
    <n v="16"/>
    <s v="Card"/>
    <s v="Dine-In"/>
    <n v="16"/>
  </r>
  <r>
    <s v="2026-08-31"/>
    <n v="2026"/>
    <x v="0"/>
    <s v="Monday"/>
    <s v="18:56:00"/>
    <n v="18"/>
    <x v="3"/>
    <s v="Pastry"/>
    <n v="1"/>
    <n v="9"/>
    <s v="Card"/>
    <s v="Dine-In"/>
    <n v="9"/>
  </r>
  <r>
    <s v="2026-09-01"/>
    <n v="2026"/>
    <x v="1"/>
    <s v="Tuesday"/>
    <s v="09:02:00"/>
    <n v="9"/>
    <x v="5"/>
    <s v="Coffee"/>
    <n v="1"/>
    <n v="9"/>
    <s v="Cash"/>
    <s v="Dine-In"/>
    <n v="9"/>
  </r>
  <r>
    <s v="2026-09-01"/>
    <n v="2026"/>
    <x v="1"/>
    <s v="Tuesday"/>
    <s v="09:10:00"/>
    <n v="9"/>
    <x v="4"/>
    <s v="Coffee"/>
    <n v="1"/>
    <n v="13"/>
    <s v="E-Wallet"/>
    <s v="Dine-In"/>
    <n v="13"/>
  </r>
  <r>
    <s v="2026-09-01"/>
    <n v="2026"/>
    <x v="1"/>
    <s v="Tuesday"/>
    <s v="10:03:00"/>
    <n v="10"/>
    <x v="1"/>
    <s v="Coffee"/>
    <n v="2"/>
    <n v="12"/>
    <s v="Card"/>
    <s v="Takeaway"/>
    <n v="24"/>
  </r>
  <r>
    <s v="2026-09-01"/>
    <n v="2026"/>
    <x v="1"/>
    <s v="Tuesday"/>
    <s v="10:15:00"/>
    <n v="10"/>
    <x v="4"/>
    <s v="Coffee"/>
    <n v="1"/>
    <n v="13"/>
    <s v="Card"/>
    <s v="Dine-In"/>
    <n v="13"/>
  </r>
  <r>
    <s v="2026-09-01"/>
    <n v="2026"/>
    <x v="1"/>
    <s v="Tuesday"/>
    <s v="10:18:00"/>
    <n v="10"/>
    <x v="2"/>
    <s v="Non-Coffee"/>
    <n v="2"/>
    <n v="14"/>
    <s v="E-Wallet"/>
    <s v="Dine-In"/>
    <n v="28"/>
  </r>
  <r>
    <s v="2026-09-01"/>
    <n v="2026"/>
    <x v="1"/>
    <s v="Tuesday"/>
    <s v="10:47:00"/>
    <n v="10"/>
    <x v="1"/>
    <s v="Coffee"/>
    <n v="1"/>
    <n v="12"/>
    <s v="Card"/>
    <s v="Dine-In"/>
    <n v="12"/>
  </r>
  <r>
    <s v="2026-09-01"/>
    <n v="2026"/>
    <x v="1"/>
    <s v="Tuesday"/>
    <s v="10:55:00"/>
    <n v="10"/>
    <x v="6"/>
    <s v="Coffee"/>
    <n v="1"/>
    <n v="7"/>
    <s v="Card"/>
    <s v="Dine-In"/>
    <n v="7"/>
  </r>
  <r>
    <s v="2026-09-01"/>
    <n v="2026"/>
    <x v="1"/>
    <s v="Tuesday"/>
    <s v="13:34:00"/>
    <n v="13"/>
    <x v="6"/>
    <s v="Coffee"/>
    <n v="2"/>
    <n v="7"/>
    <s v="E-Wallet"/>
    <s v="Takeaway"/>
    <n v="14"/>
  </r>
  <r>
    <s v="2026-09-01"/>
    <n v="2026"/>
    <x v="1"/>
    <s v="Tuesday"/>
    <s v="14:17:00"/>
    <n v="14"/>
    <x v="3"/>
    <s v="Pastry"/>
    <n v="1"/>
    <n v="9"/>
    <s v="E-Wallet"/>
    <s v="Dine-In"/>
    <n v="9"/>
  </r>
  <r>
    <s v="2026-09-01"/>
    <n v="2026"/>
    <x v="1"/>
    <s v="Tuesday"/>
    <s v="15:18:00"/>
    <n v="15"/>
    <x v="7"/>
    <s v="Pastry"/>
    <n v="3"/>
    <n v="8"/>
    <s v="E-Wallet"/>
    <s v="Dine-In"/>
    <n v="24"/>
  </r>
  <r>
    <s v="2026-09-01"/>
    <n v="2026"/>
    <x v="1"/>
    <s v="Tuesday"/>
    <s v="16:48:00"/>
    <n v="16"/>
    <x v="3"/>
    <s v="Pastry"/>
    <n v="1"/>
    <n v="9"/>
    <s v="Card"/>
    <s v="Takeaway"/>
    <n v="9"/>
  </r>
  <r>
    <s v="2026-09-01"/>
    <n v="2026"/>
    <x v="1"/>
    <s v="Tuesday"/>
    <s v="17:15:00"/>
    <n v="17"/>
    <x v="8"/>
    <s v="Dessert"/>
    <n v="3"/>
    <n v="10"/>
    <s v="E-Wallet"/>
    <s v="Dine-In"/>
    <n v="30"/>
  </r>
  <r>
    <s v="2026-09-02"/>
    <n v="2026"/>
    <x v="1"/>
    <s v="Wednesday"/>
    <s v="09:30:00"/>
    <n v="9"/>
    <x v="5"/>
    <s v="Coffee"/>
    <n v="1"/>
    <n v="9"/>
    <s v="Card"/>
    <s v="Takeaway"/>
    <n v="9"/>
  </r>
  <r>
    <s v="2026-09-02"/>
    <n v="2026"/>
    <x v="1"/>
    <s v="Wednesday"/>
    <s v="09:32:00"/>
    <n v="9"/>
    <x v="7"/>
    <s v="Pastry"/>
    <n v="1"/>
    <n v="8"/>
    <s v="Cash"/>
    <s v="Takeaway"/>
    <n v="8"/>
  </r>
  <r>
    <s v="2026-09-02"/>
    <n v="2026"/>
    <x v="1"/>
    <s v="Wednesday"/>
    <s v="10:00:00"/>
    <n v="10"/>
    <x v="1"/>
    <s v="Coffee"/>
    <n v="1"/>
    <n v="12"/>
    <s v="E-Wallet"/>
    <s v="Takeaway"/>
    <n v="12"/>
  </r>
  <r>
    <s v="2026-09-02"/>
    <n v="2026"/>
    <x v="1"/>
    <s v="Wednesday"/>
    <s v="10:30:00"/>
    <n v="10"/>
    <x v="9"/>
    <s v="Coffee"/>
    <n v="1"/>
    <n v="14"/>
    <s v="E-Wallet"/>
    <s v="Takeaway"/>
    <n v="14"/>
  </r>
  <r>
    <s v="2026-09-02"/>
    <n v="2026"/>
    <x v="1"/>
    <s v="Wednesday"/>
    <s v="12:23:00"/>
    <n v="12"/>
    <x v="2"/>
    <s v="Non-Coffee"/>
    <n v="1"/>
    <n v="14"/>
    <s v="E-Wallet"/>
    <s v="Takeaway"/>
    <n v="14"/>
  </r>
  <r>
    <s v="2026-09-02"/>
    <n v="2026"/>
    <x v="1"/>
    <s v="Wednesday"/>
    <s v="12:56:00"/>
    <n v="12"/>
    <x v="4"/>
    <s v="Coffee"/>
    <n v="1"/>
    <n v="13"/>
    <s v="Card"/>
    <s v="Dine-In"/>
    <n v="13"/>
  </r>
  <r>
    <s v="2026-09-02"/>
    <n v="2026"/>
    <x v="1"/>
    <s v="Wednesday"/>
    <s v="12:57:00"/>
    <n v="12"/>
    <x v="8"/>
    <s v="Dessert"/>
    <n v="2"/>
    <n v="10"/>
    <s v="Card"/>
    <s v="Takeaway"/>
    <n v="20"/>
  </r>
  <r>
    <s v="2026-09-02"/>
    <n v="2026"/>
    <x v="1"/>
    <s v="Wednesday"/>
    <s v="13:13:00"/>
    <n v="13"/>
    <x v="1"/>
    <s v="Coffee"/>
    <n v="2"/>
    <n v="12"/>
    <s v="E-Wallet"/>
    <s v="Dine-In"/>
    <n v="24"/>
  </r>
  <r>
    <s v="2026-09-02"/>
    <n v="2026"/>
    <x v="1"/>
    <s v="Wednesday"/>
    <s v="13:19:00"/>
    <n v="13"/>
    <x v="2"/>
    <s v="Non-Coffee"/>
    <n v="1"/>
    <n v="14"/>
    <s v="Cash"/>
    <s v="Takeaway"/>
    <n v="14"/>
  </r>
  <r>
    <s v="2026-09-02"/>
    <n v="2026"/>
    <x v="1"/>
    <s v="Wednesday"/>
    <s v="13:50:00"/>
    <n v="13"/>
    <x v="6"/>
    <s v="Coffee"/>
    <n v="1"/>
    <n v="7"/>
    <s v="E-Wallet"/>
    <s v="Dine-In"/>
    <n v="7"/>
  </r>
  <r>
    <s v="2026-09-02"/>
    <n v="2026"/>
    <x v="1"/>
    <s v="Wednesday"/>
    <s v="15:38:00"/>
    <n v="15"/>
    <x v="10"/>
    <s v="Non-Coffee"/>
    <n v="1"/>
    <n v="12"/>
    <s v="Card"/>
    <s v="Dine-In"/>
    <n v="12"/>
  </r>
  <r>
    <s v="2026-09-02"/>
    <n v="2026"/>
    <x v="1"/>
    <s v="Wednesday"/>
    <s v="17:06:00"/>
    <n v="17"/>
    <x v="7"/>
    <s v="Pastry"/>
    <n v="2"/>
    <n v="8"/>
    <s v="E-Wallet"/>
    <s v="Takeaway"/>
    <n v="16"/>
  </r>
  <r>
    <s v="2026-09-02"/>
    <n v="2026"/>
    <x v="1"/>
    <s v="Wednesday"/>
    <s v="17:45:00"/>
    <n v="17"/>
    <x v="6"/>
    <s v="Coffee"/>
    <n v="1"/>
    <n v="7"/>
    <s v="Cash"/>
    <s v="Dine-In"/>
    <n v="7"/>
  </r>
  <r>
    <s v="2026-09-02"/>
    <n v="2026"/>
    <x v="1"/>
    <s v="Wednesday"/>
    <s v="17:49:00"/>
    <n v="17"/>
    <x v="7"/>
    <s v="Pastry"/>
    <n v="1"/>
    <n v="8"/>
    <s v="E-Wallet"/>
    <s v="Takeaway"/>
    <n v="8"/>
  </r>
  <r>
    <s v="2026-09-02"/>
    <n v="2026"/>
    <x v="1"/>
    <s v="Wednesday"/>
    <s v="17:51:00"/>
    <n v="17"/>
    <x v="9"/>
    <s v="Coffee"/>
    <n v="2"/>
    <n v="14"/>
    <s v="Card"/>
    <s v="Takeaway"/>
    <n v="28"/>
  </r>
  <r>
    <s v="2026-09-02"/>
    <n v="2026"/>
    <x v="1"/>
    <s v="Wednesday"/>
    <s v="18:45:00"/>
    <n v="18"/>
    <x v="3"/>
    <s v="Pastry"/>
    <n v="1"/>
    <n v="9"/>
    <s v="E-Wallet"/>
    <s v="Dine-In"/>
    <n v="9"/>
  </r>
  <r>
    <s v="2026-09-02"/>
    <n v="2026"/>
    <x v="1"/>
    <s v="Wednesday"/>
    <s v="19:00:00"/>
    <n v="19"/>
    <x v="7"/>
    <s v="Pastry"/>
    <n v="1"/>
    <n v="8"/>
    <s v="E-Wallet"/>
    <s v="Dine-In"/>
    <n v="8"/>
  </r>
  <r>
    <s v="2026-09-02"/>
    <n v="2026"/>
    <x v="1"/>
    <s v="Wednesday"/>
    <s v="19:42:00"/>
    <n v="19"/>
    <x v="5"/>
    <s v="Coffee"/>
    <n v="1"/>
    <n v="9"/>
    <s v="Cash"/>
    <s v="Dine-In"/>
    <n v="9"/>
  </r>
  <r>
    <s v="2026-09-03"/>
    <n v="2026"/>
    <x v="1"/>
    <s v="Thursday"/>
    <s v="08:32:00"/>
    <n v="8"/>
    <x v="1"/>
    <s v="Coffee"/>
    <n v="1"/>
    <n v="12"/>
    <s v="E-Wallet"/>
    <s v="Takeaway"/>
    <n v="12"/>
  </r>
  <r>
    <s v="2026-09-03"/>
    <n v="2026"/>
    <x v="1"/>
    <s v="Thursday"/>
    <s v="08:52:00"/>
    <n v="8"/>
    <x v="11"/>
    <s v="Dessert"/>
    <n v="1"/>
    <n v="16"/>
    <s v="Cash"/>
    <s v="Dine-In"/>
    <n v="16"/>
  </r>
  <r>
    <s v="2026-09-03"/>
    <n v="2026"/>
    <x v="1"/>
    <s v="Thursday"/>
    <s v="11:01:00"/>
    <n v="11"/>
    <x v="5"/>
    <s v="Coffee"/>
    <n v="1"/>
    <n v="9"/>
    <s v="Card"/>
    <s v="Dine-In"/>
    <n v="9"/>
  </r>
  <r>
    <s v="2026-09-03"/>
    <n v="2026"/>
    <x v="1"/>
    <s v="Thursday"/>
    <s v="11:52:00"/>
    <n v="11"/>
    <x v="7"/>
    <s v="Pastry"/>
    <n v="1"/>
    <n v="8"/>
    <s v="Card"/>
    <s v="Dine-In"/>
    <n v="8"/>
  </r>
  <r>
    <s v="2026-09-03"/>
    <n v="2026"/>
    <x v="1"/>
    <s v="Thursday"/>
    <s v="12:40:00"/>
    <n v="12"/>
    <x v="11"/>
    <s v="Dessert"/>
    <n v="1"/>
    <n v="16"/>
    <s v="Cash"/>
    <s v="Dine-In"/>
    <n v="16"/>
  </r>
  <r>
    <s v="2026-09-03"/>
    <n v="2026"/>
    <x v="1"/>
    <s v="Thursday"/>
    <s v="13:41:00"/>
    <n v="13"/>
    <x v="9"/>
    <s v="Coffee"/>
    <n v="2"/>
    <n v="14"/>
    <s v="E-Wallet"/>
    <s v="Dine-In"/>
    <n v="28"/>
  </r>
  <r>
    <s v="2026-09-03"/>
    <n v="2026"/>
    <x v="1"/>
    <s v="Thursday"/>
    <s v="15:27:00"/>
    <n v="15"/>
    <x v="10"/>
    <s v="Non-Coffee"/>
    <n v="1"/>
    <n v="12"/>
    <s v="E-Wallet"/>
    <s v="Dine-In"/>
    <n v="12"/>
  </r>
  <r>
    <s v="2026-09-03"/>
    <n v="2026"/>
    <x v="1"/>
    <s v="Thursday"/>
    <s v="15:43:00"/>
    <n v="15"/>
    <x v="4"/>
    <s v="Coffee"/>
    <n v="1"/>
    <n v="13"/>
    <s v="Cash"/>
    <s v="Takeaway"/>
    <n v="13"/>
  </r>
  <r>
    <s v="2026-09-03"/>
    <n v="2026"/>
    <x v="1"/>
    <s v="Thursday"/>
    <s v="17:50:00"/>
    <n v="17"/>
    <x v="3"/>
    <s v="Pastry"/>
    <n v="2"/>
    <n v="9"/>
    <s v="E-Wallet"/>
    <s v="Takeaway"/>
    <n v="18"/>
  </r>
  <r>
    <s v="2026-09-03"/>
    <n v="2026"/>
    <x v="1"/>
    <s v="Thursday"/>
    <s v="18:02:00"/>
    <n v="18"/>
    <x v="5"/>
    <s v="Coffee"/>
    <n v="1"/>
    <n v="9"/>
    <s v="Cash"/>
    <s v="Takeaway"/>
    <n v="9"/>
  </r>
  <r>
    <s v="2026-09-03"/>
    <n v="2026"/>
    <x v="1"/>
    <s v="Thursday"/>
    <s v="19:10:00"/>
    <n v="19"/>
    <x v="0"/>
    <s v="Coffee"/>
    <n v="3"/>
    <n v="15"/>
    <s v="E-Wallet"/>
    <s v="Takeaway"/>
    <n v="45"/>
  </r>
  <r>
    <s v="2026-09-04"/>
    <n v="2026"/>
    <x v="1"/>
    <s v="Friday"/>
    <s v="08:13:00"/>
    <n v="8"/>
    <x v="2"/>
    <s v="Non-Coffee"/>
    <n v="1"/>
    <n v="14"/>
    <s v="Card"/>
    <s v="Dine-In"/>
    <n v="14"/>
  </r>
  <r>
    <s v="2026-09-04"/>
    <n v="2026"/>
    <x v="1"/>
    <s v="Friday"/>
    <s v="09:56:00"/>
    <n v="9"/>
    <x v="1"/>
    <s v="Coffee"/>
    <n v="1"/>
    <n v="12"/>
    <s v="E-Wallet"/>
    <s v="Takeaway"/>
    <n v="12"/>
  </r>
  <r>
    <s v="2026-09-04"/>
    <n v="2026"/>
    <x v="1"/>
    <s v="Friday"/>
    <s v="09:58:00"/>
    <n v="9"/>
    <x v="5"/>
    <s v="Coffee"/>
    <n v="1"/>
    <n v="9"/>
    <s v="Card"/>
    <s v="Takeaway"/>
    <n v="9"/>
  </r>
  <r>
    <s v="2026-09-04"/>
    <n v="2026"/>
    <x v="1"/>
    <s v="Friday"/>
    <s v="10:42:00"/>
    <n v="10"/>
    <x v="4"/>
    <s v="Coffee"/>
    <n v="1"/>
    <n v="13"/>
    <s v="Card"/>
    <s v="Dine-In"/>
    <n v="13"/>
  </r>
  <r>
    <s v="2026-09-04"/>
    <n v="2026"/>
    <x v="1"/>
    <s v="Friday"/>
    <s v="11:56:00"/>
    <n v="11"/>
    <x v="6"/>
    <s v="Coffee"/>
    <n v="1"/>
    <n v="7"/>
    <s v="E-Wallet"/>
    <s v="Dine-In"/>
    <n v="7"/>
  </r>
  <r>
    <s v="2026-09-04"/>
    <n v="2026"/>
    <x v="1"/>
    <s v="Friday"/>
    <s v="14:50:00"/>
    <n v="14"/>
    <x v="1"/>
    <s v="Coffee"/>
    <n v="1"/>
    <n v="12"/>
    <s v="E-Wallet"/>
    <s v="Takeaway"/>
    <n v="12"/>
  </r>
  <r>
    <s v="2026-09-04"/>
    <n v="2026"/>
    <x v="1"/>
    <s v="Friday"/>
    <s v="15:49:00"/>
    <n v="15"/>
    <x v="7"/>
    <s v="Pastry"/>
    <n v="1"/>
    <n v="8"/>
    <s v="E-Wallet"/>
    <s v="Dine-In"/>
    <n v="8"/>
  </r>
  <r>
    <s v="2026-09-04"/>
    <n v="2026"/>
    <x v="1"/>
    <s v="Friday"/>
    <s v="15:49:00"/>
    <n v="15"/>
    <x v="1"/>
    <s v="Coffee"/>
    <n v="2"/>
    <n v="12"/>
    <s v="E-Wallet"/>
    <s v="Takeaway"/>
    <n v="24"/>
  </r>
  <r>
    <s v="2026-09-04"/>
    <n v="2026"/>
    <x v="1"/>
    <s v="Friday"/>
    <s v="16:55:00"/>
    <n v="16"/>
    <x v="9"/>
    <s v="Coffee"/>
    <n v="2"/>
    <n v="14"/>
    <s v="Card"/>
    <s v="Takeaway"/>
    <n v="28"/>
  </r>
  <r>
    <s v="2026-09-04"/>
    <n v="2026"/>
    <x v="1"/>
    <s v="Friday"/>
    <s v="17:31:00"/>
    <n v="17"/>
    <x v="9"/>
    <s v="Coffee"/>
    <n v="1"/>
    <n v="14"/>
    <s v="E-Wallet"/>
    <s v="Dine-In"/>
    <n v="14"/>
  </r>
  <r>
    <s v="2026-09-04"/>
    <n v="2026"/>
    <x v="1"/>
    <s v="Friday"/>
    <s v="17:35:00"/>
    <n v="17"/>
    <x v="6"/>
    <s v="Coffee"/>
    <n v="2"/>
    <n v="7"/>
    <s v="E-Wallet"/>
    <s v="Takeaway"/>
    <n v="14"/>
  </r>
  <r>
    <s v="2026-09-04"/>
    <n v="2026"/>
    <x v="1"/>
    <s v="Friday"/>
    <s v="19:25:00"/>
    <n v="19"/>
    <x v="5"/>
    <s v="Coffee"/>
    <n v="1"/>
    <n v="9"/>
    <s v="Cash"/>
    <s v="Takeaway"/>
    <n v="9"/>
  </r>
  <r>
    <s v="2026-09-05"/>
    <n v="2026"/>
    <x v="1"/>
    <s v="Saturday"/>
    <s v="08:58:00"/>
    <n v="8"/>
    <x v="1"/>
    <s v="Coffee"/>
    <n v="4"/>
    <n v="12"/>
    <s v="Card"/>
    <s v="Takeaway"/>
    <n v="48"/>
  </r>
  <r>
    <s v="2026-09-05"/>
    <n v="2026"/>
    <x v="1"/>
    <s v="Saturday"/>
    <s v="10:47:00"/>
    <n v="10"/>
    <x v="4"/>
    <s v="Coffee"/>
    <n v="2"/>
    <n v="13"/>
    <s v="E-Wallet"/>
    <s v="Dine-In"/>
    <n v="26"/>
  </r>
  <r>
    <s v="2026-09-05"/>
    <n v="2026"/>
    <x v="1"/>
    <s v="Saturday"/>
    <s v="13:31:00"/>
    <n v="13"/>
    <x v="0"/>
    <s v="Coffee"/>
    <n v="2"/>
    <n v="15"/>
    <s v="Cash"/>
    <s v="Takeaway"/>
    <n v="30"/>
  </r>
  <r>
    <s v="2026-09-05"/>
    <n v="2026"/>
    <x v="1"/>
    <s v="Saturday"/>
    <s v="14:07:00"/>
    <n v="14"/>
    <x v="1"/>
    <s v="Coffee"/>
    <n v="4"/>
    <n v="12"/>
    <s v="E-Wallet"/>
    <s v="Takeaway"/>
    <n v="48"/>
  </r>
  <r>
    <s v="2026-09-05"/>
    <n v="2026"/>
    <x v="1"/>
    <s v="Saturday"/>
    <s v="14:13:00"/>
    <n v="14"/>
    <x v="9"/>
    <s v="Coffee"/>
    <n v="1"/>
    <n v="14"/>
    <s v="E-Wallet"/>
    <s v="Takeaway"/>
    <n v="14"/>
  </r>
  <r>
    <s v="2026-09-05"/>
    <n v="2026"/>
    <x v="1"/>
    <s v="Saturday"/>
    <s v="15:35:00"/>
    <n v="15"/>
    <x v="11"/>
    <s v="Dessert"/>
    <n v="1"/>
    <n v="16"/>
    <s v="E-Wallet"/>
    <s v="Dine-In"/>
    <n v="16"/>
  </r>
  <r>
    <s v="2026-09-05"/>
    <n v="2026"/>
    <x v="1"/>
    <s v="Saturday"/>
    <s v="16:22:00"/>
    <n v="16"/>
    <x v="8"/>
    <s v="Dessert"/>
    <n v="3"/>
    <n v="10"/>
    <s v="Cash"/>
    <s v="Takeaway"/>
    <n v="30"/>
  </r>
  <r>
    <s v="2026-09-05"/>
    <n v="2026"/>
    <x v="1"/>
    <s v="Saturday"/>
    <s v="17:46:00"/>
    <n v="17"/>
    <x v="7"/>
    <s v="Pastry"/>
    <n v="2"/>
    <n v="8"/>
    <s v="Card"/>
    <s v="Dine-In"/>
    <n v="16"/>
  </r>
  <r>
    <s v="2026-09-05"/>
    <n v="2026"/>
    <x v="1"/>
    <s v="Saturday"/>
    <s v="18:15:00"/>
    <n v="18"/>
    <x v="11"/>
    <s v="Dessert"/>
    <n v="1"/>
    <n v="16"/>
    <s v="E-Wallet"/>
    <s v="Dine-In"/>
    <n v="16"/>
  </r>
  <r>
    <s v="2026-09-05"/>
    <n v="2026"/>
    <x v="1"/>
    <s v="Saturday"/>
    <s v="19:56:00"/>
    <n v="19"/>
    <x v="5"/>
    <s v="Coffee"/>
    <n v="2"/>
    <n v="9"/>
    <s v="Cash"/>
    <s v="Dine-In"/>
    <n v="18"/>
  </r>
  <r>
    <s v="2026-09-06"/>
    <n v="2026"/>
    <x v="1"/>
    <s v="Sunday"/>
    <s v="08:23:00"/>
    <n v="8"/>
    <x v="4"/>
    <s v="Coffee"/>
    <n v="1"/>
    <n v="13"/>
    <s v="E-Wallet"/>
    <s v="Dine-In"/>
    <n v="13"/>
  </r>
  <r>
    <s v="2026-09-06"/>
    <n v="2026"/>
    <x v="1"/>
    <s v="Sunday"/>
    <s v="09:49:00"/>
    <n v="9"/>
    <x v="3"/>
    <s v="Pastry"/>
    <n v="1"/>
    <n v="9"/>
    <s v="Card"/>
    <s v="Dine-In"/>
    <n v="9"/>
  </r>
  <r>
    <s v="2026-09-06"/>
    <n v="2026"/>
    <x v="1"/>
    <s v="Sunday"/>
    <s v="09:53:00"/>
    <n v="9"/>
    <x v="5"/>
    <s v="Coffee"/>
    <n v="1"/>
    <n v="9"/>
    <s v="E-Wallet"/>
    <s v="Takeaway"/>
    <n v="9"/>
  </r>
  <r>
    <s v="2026-09-06"/>
    <n v="2026"/>
    <x v="1"/>
    <s v="Sunday"/>
    <s v="10:36:00"/>
    <n v="10"/>
    <x v="11"/>
    <s v="Dessert"/>
    <n v="1"/>
    <n v="16"/>
    <s v="E-Wallet"/>
    <s v="Takeaway"/>
    <n v="16"/>
  </r>
  <r>
    <s v="2026-09-06"/>
    <n v="2026"/>
    <x v="1"/>
    <s v="Sunday"/>
    <s v="11:58:00"/>
    <n v="11"/>
    <x v="5"/>
    <s v="Coffee"/>
    <n v="2"/>
    <n v="9"/>
    <s v="E-Wallet"/>
    <s v="Dine-In"/>
    <n v="18"/>
  </r>
  <r>
    <s v="2026-09-06"/>
    <n v="2026"/>
    <x v="1"/>
    <s v="Sunday"/>
    <s v="12:53:00"/>
    <n v="12"/>
    <x v="8"/>
    <s v="Dessert"/>
    <n v="2"/>
    <n v="10"/>
    <s v="E-Wallet"/>
    <s v="Takeaway"/>
    <n v="20"/>
  </r>
  <r>
    <s v="2026-09-06"/>
    <n v="2026"/>
    <x v="1"/>
    <s v="Sunday"/>
    <s v="13:57:00"/>
    <n v="13"/>
    <x v="11"/>
    <s v="Dessert"/>
    <n v="3"/>
    <n v="16"/>
    <s v="Cash"/>
    <s v="Dine-In"/>
    <n v="48"/>
  </r>
  <r>
    <s v="2026-09-06"/>
    <n v="2026"/>
    <x v="1"/>
    <s v="Sunday"/>
    <s v="14:20:00"/>
    <n v="14"/>
    <x v="1"/>
    <s v="Coffee"/>
    <n v="3"/>
    <n v="12"/>
    <s v="E-Wallet"/>
    <s v="Takeaway"/>
    <n v="36"/>
  </r>
  <r>
    <s v="2026-09-06"/>
    <n v="2026"/>
    <x v="1"/>
    <s v="Sunday"/>
    <s v="14:50:00"/>
    <n v="14"/>
    <x v="11"/>
    <s v="Dessert"/>
    <n v="1"/>
    <n v="16"/>
    <s v="E-Wallet"/>
    <s v="Dine-In"/>
    <n v="16"/>
  </r>
  <r>
    <s v="2026-09-06"/>
    <n v="2026"/>
    <x v="1"/>
    <s v="Sunday"/>
    <s v="15:36:00"/>
    <n v="15"/>
    <x v="7"/>
    <s v="Pastry"/>
    <n v="1"/>
    <n v="8"/>
    <s v="E-Wallet"/>
    <s v="Takeaway"/>
    <n v="8"/>
  </r>
  <r>
    <s v="2026-09-06"/>
    <n v="2026"/>
    <x v="1"/>
    <s v="Sunday"/>
    <s v="16:33:00"/>
    <n v="16"/>
    <x v="10"/>
    <s v="Non-Coffee"/>
    <n v="1"/>
    <n v="12"/>
    <s v="Card"/>
    <s v="Takeaway"/>
    <n v="12"/>
  </r>
  <r>
    <s v="2026-09-06"/>
    <n v="2026"/>
    <x v="1"/>
    <s v="Sunday"/>
    <s v="16:59:00"/>
    <n v="16"/>
    <x v="4"/>
    <s v="Coffee"/>
    <n v="3"/>
    <n v="13"/>
    <s v="Cash"/>
    <s v="Takeaway"/>
    <n v="39"/>
  </r>
  <r>
    <s v="2026-09-06"/>
    <n v="2026"/>
    <x v="1"/>
    <s v="Sunday"/>
    <s v="17:15:00"/>
    <n v="17"/>
    <x v="3"/>
    <s v="Pastry"/>
    <n v="2"/>
    <n v="9"/>
    <s v="E-Wallet"/>
    <s v="Takeaway"/>
    <n v="18"/>
  </r>
  <r>
    <s v="2026-09-06"/>
    <n v="2026"/>
    <x v="1"/>
    <s v="Sunday"/>
    <s v="17:20:00"/>
    <n v="17"/>
    <x v="4"/>
    <s v="Coffee"/>
    <n v="2"/>
    <n v="13"/>
    <s v="Cash"/>
    <s v="Takeaway"/>
    <n v="26"/>
  </r>
  <r>
    <s v="2026-09-06"/>
    <n v="2026"/>
    <x v="1"/>
    <s v="Sunday"/>
    <s v="18:29:00"/>
    <n v="18"/>
    <x v="1"/>
    <s v="Coffee"/>
    <n v="1"/>
    <n v="12"/>
    <s v="E-Wallet"/>
    <s v="Dine-In"/>
    <n v="12"/>
  </r>
  <r>
    <s v="2026-09-06"/>
    <n v="2026"/>
    <x v="1"/>
    <s v="Sunday"/>
    <s v="18:56:00"/>
    <n v="18"/>
    <x v="6"/>
    <s v="Coffee"/>
    <n v="1"/>
    <n v="7"/>
    <s v="Cash"/>
    <s v="Dine-In"/>
    <n v="7"/>
  </r>
  <r>
    <s v="2026-09-06"/>
    <n v="2026"/>
    <x v="1"/>
    <s v="Sunday"/>
    <s v="19:18:00"/>
    <n v="19"/>
    <x v="5"/>
    <s v="Coffee"/>
    <n v="1"/>
    <n v="9"/>
    <s v="E-Wallet"/>
    <s v="Dine-In"/>
    <n v="9"/>
  </r>
  <r>
    <s v="2026-09-06"/>
    <n v="2026"/>
    <x v="1"/>
    <s v="Sunday"/>
    <s v="19:25:00"/>
    <n v="19"/>
    <x v="9"/>
    <s v="Coffee"/>
    <n v="1"/>
    <n v="14"/>
    <s v="Cash"/>
    <s v="Takeaway"/>
    <n v="14"/>
  </r>
  <r>
    <s v="2026-09-06"/>
    <n v="2026"/>
    <x v="1"/>
    <s v="Sunday"/>
    <s v="19:50:00"/>
    <n v="19"/>
    <x v="11"/>
    <s v="Dessert"/>
    <n v="1"/>
    <n v="16"/>
    <s v="E-Wallet"/>
    <s v="Takeaway"/>
    <n v="16"/>
  </r>
  <r>
    <s v="2026-09-07"/>
    <n v="2026"/>
    <x v="1"/>
    <s v="Monday"/>
    <s v="10:39:00"/>
    <n v="10"/>
    <x v="3"/>
    <s v="Pastry"/>
    <n v="2"/>
    <n v="9"/>
    <s v="E-Wallet"/>
    <s v="Dine-In"/>
    <n v="18"/>
  </r>
  <r>
    <s v="2026-09-07"/>
    <n v="2026"/>
    <x v="1"/>
    <s v="Monday"/>
    <s v="10:44:00"/>
    <n v="10"/>
    <x v="11"/>
    <s v="Dessert"/>
    <n v="4"/>
    <n v="16"/>
    <s v="E-Wallet"/>
    <s v="Takeaway"/>
    <n v="64"/>
  </r>
  <r>
    <s v="2026-09-07"/>
    <n v="2026"/>
    <x v="1"/>
    <s v="Monday"/>
    <s v="10:59:00"/>
    <n v="10"/>
    <x v="8"/>
    <s v="Dessert"/>
    <n v="1"/>
    <n v="10"/>
    <s v="E-Wallet"/>
    <s v="Dine-In"/>
    <n v="10"/>
  </r>
  <r>
    <s v="2026-09-07"/>
    <n v="2026"/>
    <x v="1"/>
    <s v="Monday"/>
    <s v="11:03:00"/>
    <n v="11"/>
    <x v="1"/>
    <s v="Coffee"/>
    <n v="1"/>
    <n v="12"/>
    <s v="Cash"/>
    <s v="Dine-In"/>
    <n v="12"/>
  </r>
  <r>
    <s v="2026-09-07"/>
    <n v="2026"/>
    <x v="1"/>
    <s v="Monday"/>
    <s v="11:08:00"/>
    <n v="11"/>
    <x v="5"/>
    <s v="Coffee"/>
    <n v="1"/>
    <n v="9"/>
    <s v="Card"/>
    <s v="Dine-In"/>
    <n v="9"/>
  </r>
  <r>
    <s v="2026-09-07"/>
    <n v="2026"/>
    <x v="1"/>
    <s v="Monday"/>
    <s v="13:20:00"/>
    <n v="13"/>
    <x v="6"/>
    <s v="Coffee"/>
    <n v="1"/>
    <n v="7"/>
    <s v="E-Wallet"/>
    <s v="Takeaway"/>
    <n v="7"/>
  </r>
  <r>
    <s v="2026-09-07"/>
    <n v="2026"/>
    <x v="1"/>
    <s v="Monday"/>
    <s v="14:20:00"/>
    <n v="14"/>
    <x v="1"/>
    <s v="Coffee"/>
    <n v="1"/>
    <n v="12"/>
    <s v="E-Wallet"/>
    <s v="Takeaway"/>
    <n v="12"/>
  </r>
  <r>
    <s v="2026-09-07"/>
    <n v="2026"/>
    <x v="1"/>
    <s v="Monday"/>
    <s v="15:32:00"/>
    <n v="15"/>
    <x v="1"/>
    <s v="Coffee"/>
    <n v="1"/>
    <n v="12"/>
    <s v="Cash"/>
    <s v="Dine-In"/>
    <n v="12"/>
  </r>
  <r>
    <s v="2026-09-07"/>
    <n v="2026"/>
    <x v="1"/>
    <s v="Monday"/>
    <s v="17:13:00"/>
    <n v="17"/>
    <x v="11"/>
    <s v="Dessert"/>
    <n v="2"/>
    <n v="16"/>
    <s v="Cash"/>
    <s v="Dine-In"/>
    <n v="32"/>
  </r>
  <r>
    <s v="2026-09-07"/>
    <n v="2026"/>
    <x v="1"/>
    <s v="Monday"/>
    <s v="17:33:00"/>
    <n v="17"/>
    <x v="4"/>
    <s v="Coffee"/>
    <n v="3"/>
    <n v="13"/>
    <s v="Cash"/>
    <s v="Dine-In"/>
    <n v="39"/>
  </r>
  <r>
    <s v="2026-09-07"/>
    <n v="2026"/>
    <x v="1"/>
    <s v="Monday"/>
    <s v="17:44:00"/>
    <n v="17"/>
    <x v="10"/>
    <s v="Non-Coffee"/>
    <n v="1"/>
    <n v="12"/>
    <s v="E-Wallet"/>
    <s v="Takeaway"/>
    <n v="12"/>
  </r>
  <r>
    <s v="2026-09-08"/>
    <n v="2026"/>
    <x v="1"/>
    <s v="Tuesday"/>
    <s v="09:46:00"/>
    <n v="9"/>
    <x v="5"/>
    <s v="Coffee"/>
    <n v="1"/>
    <n v="9"/>
    <s v="E-Wallet"/>
    <s v="Dine-In"/>
    <n v="9"/>
  </r>
  <r>
    <s v="2026-09-08"/>
    <n v="2026"/>
    <x v="1"/>
    <s v="Tuesday"/>
    <s v="10:55:00"/>
    <n v="10"/>
    <x v="8"/>
    <s v="Dessert"/>
    <n v="2"/>
    <n v="10"/>
    <s v="E-Wallet"/>
    <s v="Takeaway"/>
    <n v="20"/>
  </r>
  <r>
    <s v="2026-09-08"/>
    <n v="2026"/>
    <x v="1"/>
    <s v="Tuesday"/>
    <s v="11:51:00"/>
    <n v="11"/>
    <x v="4"/>
    <s v="Coffee"/>
    <n v="2"/>
    <n v="13"/>
    <s v="Card"/>
    <s v="Takeaway"/>
    <n v="26"/>
  </r>
  <r>
    <s v="2026-09-08"/>
    <n v="2026"/>
    <x v="1"/>
    <s v="Tuesday"/>
    <s v="14:05:00"/>
    <n v="14"/>
    <x v="10"/>
    <s v="Non-Coffee"/>
    <n v="1"/>
    <n v="12"/>
    <s v="Cash"/>
    <s v="Takeaway"/>
    <n v="12"/>
  </r>
  <r>
    <s v="2026-09-08"/>
    <n v="2026"/>
    <x v="1"/>
    <s v="Tuesday"/>
    <s v="15:49:00"/>
    <n v="15"/>
    <x v="8"/>
    <s v="Dessert"/>
    <n v="1"/>
    <n v="10"/>
    <s v="E-Wallet"/>
    <s v="Takeaway"/>
    <n v="10"/>
  </r>
  <r>
    <s v="2026-09-08"/>
    <n v="2026"/>
    <x v="1"/>
    <s v="Tuesday"/>
    <s v="16:09:00"/>
    <n v="16"/>
    <x v="1"/>
    <s v="Coffee"/>
    <n v="3"/>
    <n v="12"/>
    <s v="Cash"/>
    <s v="Takeaway"/>
    <n v="36"/>
  </r>
  <r>
    <s v="2026-09-08"/>
    <n v="2026"/>
    <x v="1"/>
    <s v="Tuesday"/>
    <s v="16:24:00"/>
    <n v="16"/>
    <x v="1"/>
    <s v="Coffee"/>
    <n v="2"/>
    <n v="12"/>
    <s v="Card"/>
    <s v="Dine-In"/>
    <n v="24"/>
  </r>
  <r>
    <s v="2026-09-08"/>
    <n v="2026"/>
    <x v="1"/>
    <s v="Tuesday"/>
    <s v="17:21:00"/>
    <n v="17"/>
    <x v="9"/>
    <s v="Coffee"/>
    <n v="2"/>
    <n v="14"/>
    <s v="E-Wallet"/>
    <s v="Dine-In"/>
    <n v="28"/>
  </r>
  <r>
    <s v="2026-09-08"/>
    <n v="2026"/>
    <x v="1"/>
    <s v="Tuesday"/>
    <s v="17:32:00"/>
    <n v="17"/>
    <x v="2"/>
    <s v="Non-Coffee"/>
    <n v="2"/>
    <n v="14"/>
    <s v="Card"/>
    <s v="Takeaway"/>
    <n v="28"/>
  </r>
  <r>
    <s v="2026-09-08"/>
    <n v="2026"/>
    <x v="1"/>
    <s v="Tuesday"/>
    <s v="17:32:00"/>
    <n v="17"/>
    <x v="4"/>
    <s v="Coffee"/>
    <n v="1"/>
    <n v="13"/>
    <s v="E-Wallet"/>
    <s v="Takeaway"/>
    <n v="13"/>
  </r>
  <r>
    <s v="2026-09-08"/>
    <n v="2026"/>
    <x v="1"/>
    <s v="Tuesday"/>
    <s v="18:48:00"/>
    <n v="18"/>
    <x v="4"/>
    <s v="Coffee"/>
    <n v="1"/>
    <n v="13"/>
    <s v="E-Wallet"/>
    <s v="Takeaway"/>
    <n v="13"/>
  </r>
  <r>
    <s v="2026-09-09"/>
    <n v="2026"/>
    <x v="1"/>
    <s v="Wednesday"/>
    <s v="10:18:00"/>
    <n v="10"/>
    <x v="2"/>
    <s v="Non-Coffee"/>
    <n v="1"/>
    <n v="14"/>
    <s v="Card"/>
    <s v="Dine-In"/>
    <n v="14"/>
  </r>
  <r>
    <s v="2026-09-09"/>
    <n v="2026"/>
    <x v="1"/>
    <s v="Wednesday"/>
    <s v="10:59:00"/>
    <n v="10"/>
    <x v="4"/>
    <s v="Coffee"/>
    <n v="1"/>
    <n v="13"/>
    <s v="Cash"/>
    <s v="Dine-In"/>
    <n v="13"/>
  </r>
  <r>
    <s v="2026-09-09"/>
    <n v="2026"/>
    <x v="1"/>
    <s v="Wednesday"/>
    <s v="11:09:00"/>
    <n v="11"/>
    <x v="9"/>
    <s v="Coffee"/>
    <n v="1"/>
    <n v="13"/>
    <s v="Card"/>
    <s v="Takeaway"/>
    <n v="13"/>
  </r>
  <r>
    <s v="2026-09-09"/>
    <n v="2026"/>
    <x v="1"/>
    <s v="Wednesday"/>
    <s v="11:20:00"/>
    <n v="11"/>
    <x v="0"/>
    <s v="Coffee"/>
    <n v="2"/>
    <n v="15"/>
    <s v="E-Wallet"/>
    <s v="Takeaway"/>
    <n v="30"/>
  </r>
  <r>
    <s v="2026-09-09"/>
    <n v="2026"/>
    <x v="1"/>
    <s v="Wednesday"/>
    <s v="12:17:00"/>
    <n v="12"/>
    <x v="0"/>
    <s v="Coffee"/>
    <n v="2"/>
    <n v="15"/>
    <s v="E-Wallet"/>
    <s v="Dine-In"/>
    <n v="30"/>
  </r>
  <r>
    <s v="2026-09-09"/>
    <n v="2026"/>
    <x v="1"/>
    <s v="Wednesday"/>
    <s v="13:02:00"/>
    <n v="13"/>
    <x v="4"/>
    <s v="Coffee"/>
    <n v="1"/>
    <n v="13"/>
    <s v="E-Wallet"/>
    <s v="Takeaway"/>
    <n v="13"/>
  </r>
  <r>
    <s v="2026-09-09"/>
    <n v="2026"/>
    <x v="1"/>
    <s v="Wednesday"/>
    <s v="14:03:00"/>
    <n v="14"/>
    <x v="5"/>
    <s v="Coffee"/>
    <n v="1"/>
    <n v="9"/>
    <s v="Cash"/>
    <s v="Takeaway"/>
    <n v="9"/>
  </r>
  <r>
    <s v="2026-09-09"/>
    <n v="2026"/>
    <x v="1"/>
    <s v="Wednesday"/>
    <s v="14:28:00"/>
    <n v="14"/>
    <x v="4"/>
    <s v="Coffee"/>
    <n v="1"/>
    <n v="13"/>
    <s v="E-Wallet"/>
    <s v="Takeaway"/>
    <n v="13"/>
  </r>
  <r>
    <s v="2026-09-09"/>
    <n v="2026"/>
    <x v="1"/>
    <s v="Wednesday"/>
    <s v="15:05:00"/>
    <n v="15"/>
    <x v="6"/>
    <s v="Coffee"/>
    <n v="1"/>
    <n v="7"/>
    <s v="Card"/>
    <s v="Takeaway"/>
    <n v="7"/>
  </r>
  <r>
    <s v="2026-09-09"/>
    <n v="2026"/>
    <x v="1"/>
    <s v="Wednesday"/>
    <s v="16:03:00"/>
    <n v="16"/>
    <x v="4"/>
    <s v="Coffee"/>
    <n v="2"/>
    <n v="13"/>
    <s v="Card"/>
    <s v="Takeaway"/>
    <n v="26"/>
  </r>
  <r>
    <s v="2026-09-09"/>
    <n v="2026"/>
    <x v="1"/>
    <s v="Wednesday"/>
    <s v="16:11:00"/>
    <n v="16"/>
    <x v="1"/>
    <s v="Coffee"/>
    <n v="1"/>
    <n v="12"/>
    <s v="Card"/>
    <s v="Takeaway"/>
    <n v="12"/>
  </r>
  <r>
    <s v="2026-09-09"/>
    <n v="2026"/>
    <x v="1"/>
    <s v="Wednesday"/>
    <s v="16:23:00"/>
    <n v="16"/>
    <x v="7"/>
    <s v="Pastry"/>
    <n v="2"/>
    <n v="8"/>
    <s v="E-Wallet"/>
    <s v="Takeaway"/>
    <n v="16"/>
  </r>
  <r>
    <s v="2026-09-09"/>
    <n v="2026"/>
    <x v="1"/>
    <s v="Wednesday"/>
    <s v="17:30:00"/>
    <n v="17"/>
    <x v="0"/>
    <s v="Coffee"/>
    <n v="1"/>
    <n v="15"/>
    <s v="E-Wallet"/>
    <s v="Takeaway"/>
    <n v="15"/>
  </r>
  <r>
    <s v="2026-09-09"/>
    <n v="2026"/>
    <x v="1"/>
    <s v="Wednesday"/>
    <s v="18:49:00"/>
    <n v="18"/>
    <x v="1"/>
    <s v="Coffee"/>
    <n v="3"/>
    <n v="12"/>
    <s v="Card"/>
    <s v="Dine-In"/>
    <n v="36"/>
  </r>
  <r>
    <s v="2026-09-10"/>
    <n v="2026"/>
    <x v="1"/>
    <s v="Thursday"/>
    <s v="10:27:00"/>
    <n v="10"/>
    <x v="7"/>
    <s v="Pastry"/>
    <n v="1"/>
    <n v="8"/>
    <s v="Card"/>
    <s v="Dine-In"/>
    <n v="8"/>
  </r>
  <r>
    <s v="2026-09-10"/>
    <n v="2026"/>
    <x v="1"/>
    <s v="Thursday"/>
    <s v="10:33:00"/>
    <n v="10"/>
    <x v="1"/>
    <s v="Coffee"/>
    <n v="1"/>
    <n v="12"/>
    <s v="Cash"/>
    <s v="Dine-In"/>
    <n v="12"/>
  </r>
  <r>
    <s v="2026-09-10"/>
    <n v="2026"/>
    <x v="1"/>
    <s v="Thursday"/>
    <s v="10:44:00"/>
    <n v="10"/>
    <x v="6"/>
    <s v="Coffee"/>
    <n v="1"/>
    <n v="7"/>
    <s v="Cash"/>
    <s v="Takeaway"/>
    <n v="7"/>
  </r>
  <r>
    <s v="2026-09-10"/>
    <n v="2026"/>
    <x v="1"/>
    <s v="Thursday"/>
    <s v="11:42:00"/>
    <n v="11"/>
    <x v="0"/>
    <s v="Coffee"/>
    <n v="3"/>
    <n v="15"/>
    <s v="Cash"/>
    <s v="Dine-In"/>
    <n v="45"/>
  </r>
  <r>
    <s v="2026-09-10"/>
    <n v="2026"/>
    <x v="1"/>
    <s v="Thursday"/>
    <s v="12:07:00"/>
    <n v="12"/>
    <x v="1"/>
    <s v="Coffee"/>
    <n v="1"/>
    <n v="12"/>
    <s v="Cash"/>
    <s v="Dine-In"/>
    <n v="12"/>
  </r>
  <r>
    <s v="2026-09-10"/>
    <n v="2026"/>
    <x v="1"/>
    <s v="Thursday"/>
    <s v="14:30:00"/>
    <n v="14"/>
    <x v="3"/>
    <s v="Pastry"/>
    <n v="1"/>
    <n v="9"/>
    <s v="Card"/>
    <s v="Dine-In"/>
    <n v="9"/>
  </r>
  <r>
    <s v="2026-09-10"/>
    <n v="2026"/>
    <x v="1"/>
    <s v="Thursday"/>
    <s v="17:28:00"/>
    <n v="17"/>
    <x v="5"/>
    <s v="Coffee"/>
    <n v="1"/>
    <n v="9"/>
    <s v="Cash"/>
    <s v="Takeaway"/>
    <n v="9"/>
  </r>
  <r>
    <s v="2026-09-11"/>
    <n v="2026"/>
    <x v="1"/>
    <s v="Friday"/>
    <s v="10:27:00"/>
    <n v="10"/>
    <x v="5"/>
    <s v="Coffee"/>
    <n v="1"/>
    <n v="9"/>
    <s v="Card"/>
    <s v="Dine-In"/>
    <n v="9"/>
  </r>
  <r>
    <s v="2026-09-11"/>
    <n v="2026"/>
    <x v="1"/>
    <s v="Friday"/>
    <s v="10:31:00"/>
    <n v="10"/>
    <x v="5"/>
    <s v="Coffee"/>
    <n v="1"/>
    <n v="9"/>
    <s v="Cash"/>
    <s v="Takeaway"/>
    <n v="9"/>
  </r>
  <r>
    <s v="2026-09-11"/>
    <n v="2026"/>
    <x v="1"/>
    <s v="Friday"/>
    <s v="10:56:00"/>
    <n v="10"/>
    <x v="4"/>
    <s v="Coffee"/>
    <n v="1"/>
    <n v="13"/>
    <s v="E-Wallet"/>
    <s v="Takeaway"/>
    <n v="13"/>
  </r>
  <r>
    <s v="2026-09-11"/>
    <n v="2026"/>
    <x v="1"/>
    <s v="Friday"/>
    <s v="11:46:00"/>
    <n v="11"/>
    <x v="5"/>
    <s v="Coffee"/>
    <n v="2"/>
    <n v="9"/>
    <s v="Cash"/>
    <s v="Dine-In"/>
    <n v="18"/>
  </r>
  <r>
    <s v="2026-09-11"/>
    <n v="2026"/>
    <x v="1"/>
    <s v="Friday"/>
    <s v="13:09:00"/>
    <n v="13"/>
    <x v="9"/>
    <s v="Coffee"/>
    <n v="1"/>
    <n v="14"/>
    <s v="Cash"/>
    <s v="Dine-In"/>
    <n v="14"/>
  </r>
  <r>
    <s v="2026-09-11"/>
    <n v="2026"/>
    <x v="1"/>
    <s v="Friday"/>
    <s v="13:25:00"/>
    <n v="13"/>
    <x v="4"/>
    <s v="Coffee"/>
    <n v="1"/>
    <n v="13"/>
    <s v="Card"/>
    <s v="Takeaway"/>
    <n v="13"/>
  </r>
  <r>
    <s v="2026-09-11"/>
    <n v="2026"/>
    <x v="1"/>
    <s v="Friday"/>
    <s v="13:45:00"/>
    <n v="13"/>
    <x v="0"/>
    <s v="Coffee"/>
    <n v="3"/>
    <n v="15"/>
    <s v="E-Wallet"/>
    <s v="Takeaway"/>
    <n v="45"/>
  </r>
  <r>
    <s v="2026-09-11"/>
    <n v="2026"/>
    <x v="1"/>
    <s v="Friday"/>
    <s v="14:26:00"/>
    <n v="14"/>
    <x v="5"/>
    <s v="Coffee"/>
    <n v="2"/>
    <n v="9"/>
    <s v="Card"/>
    <s v="Dine-In"/>
    <n v="18"/>
  </r>
  <r>
    <s v="2026-09-11"/>
    <n v="2026"/>
    <x v="1"/>
    <s v="Friday"/>
    <s v="16:17:00"/>
    <n v="16"/>
    <x v="7"/>
    <s v="Pastry"/>
    <n v="1"/>
    <n v="8"/>
    <s v="E-Wallet"/>
    <s v="Dine-In"/>
    <n v="8"/>
  </r>
  <r>
    <s v="2026-09-11"/>
    <n v="2026"/>
    <x v="1"/>
    <s v="Friday"/>
    <s v="16:35:00"/>
    <n v="16"/>
    <x v="3"/>
    <s v="Pastry"/>
    <n v="1"/>
    <n v="9"/>
    <s v="Cash"/>
    <s v="Dine-In"/>
    <n v="9"/>
  </r>
  <r>
    <s v="2026-09-11"/>
    <n v="2026"/>
    <x v="1"/>
    <s v="Friday"/>
    <s v="17:59:00"/>
    <n v="17"/>
    <x v="10"/>
    <s v="Non-Coffee"/>
    <n v="1"/>
    <n v="12"/>
    <s v="Cash"/>
    <s v="Dine-In"/>
    <n v="12"/>
  </r>
  <r>
    <s v="2026-09-11"/>
    <n v="2026"/>
    <x v="1"/>
    <s v="Friday"/>
    <s v="19:10:00"/>
    <n v="19"/>
    <x v="9"/>
    <s v="Coffee"/>
    <n v="3"/>
    <n v="14"/>
    <s v="Cash"/>
    <s v="Takeaway"/>
    <n v="42"/>
  </r>
  <r>
    <s v="2026-09-12"/>
    <n v="2026"/>
    <x v="1"/>
    <s v="Saturday"/>
    <s v="09:48:00"/>
    <n v="9"/>
    <x v="1"/>
    <s v="Coffee"/>
    <n v="1"/>
    <n v="12"/>
    <s v="E-Wallet"/>
    <s v="Takeaway"/>
    <n v="12"/>
  </r>
  <r>
    <s v="2026-09-12"/>
    <n v="2026"/>
    <x v="1"/>
    <s v="Saturday"/>
    <s v="11:12:00"/>
    <n v="11"/>
    <x v="1"/>
    <s v="Coffee"/>
    <n v="3"/>
    <n v="12"/>
    <s v="E-Wallet"/>
    <s v="Takeaway"/>
    <n v="36"/>
  </r>
  <r>
    <s v="2026-09-12"/>
    <n v="2026"/>
    <x v="1"/>
    <s v="Saturday"/>
    <s v="15:11:00"/>
    <n v="15"/>
    <x v="8"/>
    <s v="Dessert"/>
    <n v="1"/>
    <n v="10"/>
    <s v="Card"/>
    <s v="Dine-In"/>
    <n v="10"/>
  </r>
  <r>
    <s v="2026-09-12"/>
    <n v="2026"/>
    <x v="1"/>
    <s v="Saturday"/>
    <s v="17:45:00"/>
    <n v="17"/>
    <x v="4"/>
    <s v="Coffee"/>
    <n v="1"/>
    <n v="13"/>
    <s v="Cash"/>
    <s v="Takeaway"/>
    <n v="13"/>
  </r>
  <r>
    <s v="2026-09-12"/>
    <n v="2026"/>
    <x v="1"/>
    <s v="Saturday"/>
    <s v="17:55:00"/>
    <n v="17"/>
    <x v="9"/>
    <s v="Coffee"/>
    <n v="1"/>
    <n v="14"/>
    <s v="Cash"/>
    <s v="Takeaway"/>
    <n v="14"/>
  </r>
  <r>
    <s v="2026-09-12"/>
    <n v="2026"/>
    <x v="1"/>
    <s v="Saturday"/>
    <s v="18:08:00"/>
    <n v="18"/>
    <x v="4"/>
    <s v="Coffee"/>
    <n v="3"/>
    <n v="13"/>
    <s v="E-Wallet"/>
    <s v="Dine-In"/>
    <n v="39"/>
  </r>
  <r>
    <s v="2026-09-12"/>
    <n v="2026"/>
    <x v="1"/>
    <s v="Saturday"/>
    <s v="18:36:00"/>
    <n v="18"/>
    <x v="8"/>
    <s v="Dessert"/>
    <n v="1"/>
    <n v="10"/>
    <s v="Cash"/>
    <s v="Takeaway"/>
    <n v="10"/>
  </r>
  <r>
    <s v="2026-09-12"/>
    <n v="2026"/>
    <x v="1"/>
    <s v="Saturday"/>
    <s v="19:03:00"/>
    <n v="19"/>
    <x v="7"/>
    <s v="Pastry"/>
    <n v="1"/>
    <n v="8"/>
    <s v="Cash"/>
    <s v="Takeaway"/>
    <n v="8"/>
  </r>
  <r>
    <s v="2026-09-12"/>
    <n v="2026"/>
    <x v="1"/>
    <s v="Saturday"/>
    <s v="19:09:00"/>
    <n v="19"/>
    <x v="5"/>
    <s v="Coffee"/>
    <n v="1"/>
    <n v="9"/>
    <s v="Cash"/>
    <s v="Dine-In"/>
    <n v="9"/>
  </r>
  <r>
    <s v="2026-09-13"/>
    <n v="2026"/>
    <x v="1"/>
    <s v="Sunday"/>
    <s v="11:40:00"/>
    <n v="11"/>
    <x v="3"/>
    <s v="Pastry"/>
    <n v="1"/>
    <n v="9"/>
    <s v="E-Wallet"/>
    <s v="Dine-In"/>
    <n v="9"/>
  </r>
  <r>
    <s v="2026-09-13"/>
    <n v="2026"/>
    <x v="1"/>
    <s v="Sunday"/>
    <s v="12:01:00"/>
    <n v="12"/>
    <x v="7"/>
    <s v="Pastry"/>
    <n v="2"/>
    <n v="8"/>
    <s v="Cash"/>
    <s v="Dine-In"/>
    <n v="16"/>
  </r>
  <r>
    <s v="2026-09-13"/>
    <n v="2026"/>
    <x v="1"/>
    <s v="Sunday"/>
    <s v="12:38:00"/>
    <n v="12"/>
    <x v="1"/>
    <s v="Coffee"/>
    <n v="1"/>
    <n v="12"/>
    <s v="Card"/>
    <s v="Dine-In"/>
    <n v="12"/>
  </r>
  <r>
    <s v="2026-09-13"/>
    <n v="2026"/>
    <x v="1"/>
    <s v="Sunday"/>
    <s v="12:56:00"/>
    <n v="12"/>
    <x v="6"/>
    <s v="Coffee"/>
    <n v="1"/>
    <n v="7"/>
    <s v="Cash"/>
    <s v="Takeaway"/>
    <n v="7"/>
  </r>
  <r>
    <s v="2026-09-13"/>
    <n v="2026"/>
    <x v="1"/>
    <s v="Sunday"/>
    <s v="13:55:00"/>
    <n v="13"/>
    <x v="9"/>
    <s v="Coffee"/>
    <n v="1"/>
    <n v="14"/>
    <s v="Card"/>
    <s v="Dine-In"/>
    <n v="14"/>
  </r>
  <r>
    <s v="2026-09-13"/>
    <n v="2026"/>
    <x v="1"/>
    <s v="Sunday"/>
    <s v="14:11:00"/>
    <n v="14"/>
    <x v="1"/>
    <s v="Coffee"/>
    <n v="1"/>
    <n v="12"/>
    <s v="E-Wallet"/>
    <s v="Takeaway"/>
    <n v="12"/>
  </r>
  <r>
    <s v="2026-09-13"/>
    <n v="2026"/>
    <x v="1"/>
    <s v="Sunday"/>
    <s v="14:39:00"/>
    <n v="14"/>
    <x v="5"/>
    <s v="Coffee"/>
    <n v="2"/>
    <n v="9"/>
    <s v="E-Wallet"/>
    <s v="Dine-In"/>
    <n v="18"/>
  </r>
  <r>
    <s v="2026-09-13"/>
    <n v="2026"/>
    <x v="1"/>
    <s v="Sunday"/>
    <s v="15:13:00"/>
    <n v="15"/>
    <x v="4"/>
    <s v="Coffee"/>
    <n v="1"/>
    <n v="13"/>
    <s v="E-Wallet"/>
    <s v="Dine-In"/>
    <n v="13"/>
  </r>
  <r>
    <s v="2026-09-13"/>
    <n v="2026"/>
    <x v="1"/>
    <s v="Sunday"/>
    <s v="15:26:00"/>
    <n v="15"/>
    <x v="0"/>
    <s v="Coffee"/>
    <n v="1"/>
    <n v="15"/>
    <s v="E-Wallet"/>
    <s v="Dine-In"/>
    <n v="15"/>
  </r>
  <r>
    <s v="2026-09-13"/>
    <n v="2026"/>
    <x v="1"/>
    <s v="Sunday"/>
    <s v="16:33:00"/>
    <n v="16"/>
    <x v="4"/>
    <s v="Coffee"/>
    <n v="2"/>
    <n v="13"/>
    <s v="E-Wallet"/>
    <s v="Dine-In"/>
    <n v="26"/>
  </r>
  <r>
    <s v="2026-09-13"/>
    <n v="2026"/>
    <x v="1"/>
    <s v="Sunday"/>
    <s v="18:08:00"/>
    <n v="18"/>
    <x v="6"/>
    <s v="Coffee"/>
    <n v="1"/>
    <n v="7"/>
    <s v="E-Wallet"/>
    <s v="Dine-In"/>
    <n v="7"/>
  </r>
  <r>
    <s v="2026-09-13"/>
    <n v="2026"/>
    <x v="1"/>
    <s v="Sunday"/>
    <s v="18:54:00"/>
    <n v="18"/>
    <x v="1"/>
    <s v="Coffee"/>
    <n v="1"/>
    <n v="12"/>
    <s v="E-Wallet"/>
    <s v="Takeaway"/>
    <n v="12"/>
  </r>
  <r>
    <s v="2026-09-14"/>
    <n v="2026"/>
    <x v="1"/>
    <s v="Monday"/>
    <s v="08:05:00"/>
    <n v="8"/>
    <x v="7"/>
    <s v="Pastry"/>
    <n v="2"/>
    <n v="8"/>
    <s v="E-Wallet"/>
    <s v="Takeaway"/>
    <n v="16"/>
  </r>
  <r>
    <s v="2026-09-14"/>
    <n v="2026"/>
    <x v="1"/>
    <s v="Monday"/>
    <s v="10:07:00"/>
    <n v="10"/>
    <x v="10"/>
    <s v="Non-Coffee"/>
    <n v="1"/>
    <n v="12"/>
    <s v="E-Wallet"/>
    <s v="Takeaway"/>
    <n v="12"/>
  </r>
  <r>
    <s v="2026-09-14"/>
    <n v="2026"/>
    <x v="1"/>
    <s v="Monday"/>
    <s v="10:09:00"/>
    <n v="10"/>
    <x v="0"/>
    <s v="Coffee"/>
    <n v="1"/>
    <n v="15"/>
    <s v="E-Wallet"/>
    <s v="Takeaway"/>
    <n v="15"/>
  </r>
  <r>
    <s v="2026-09-14"/>
    <n v="2026"/>
    <x v="1"/>
    <s v="Monday"/>
    <s v="11:39:00"/>
    <n v="11"/>
    <x v="1"/>
    <s v="Coffee"/>
    <n v="1"/>
    <n v="12"/>
    <s v="E-Wallet"/>
    <s v="Takeaway"/>
    <n v="12"/>
  </r>
  <r>
    <s v="2026-09-14"/>
    <n v="2026"/>
    <x v="1"/>
    <s v="Monday"/>
    <s v="11:41:00"/>
    <n v="11"/>
    <x v="1"/>
    <s v="Coffee"/>
    <n v="2"/>
    <n v="12"/>
    <s v="Cash"/>
    <s v="Dine-In"/>
    <n v="24"/>
  </r>
  <r>
    <s v="2026-09-14"/>
    <n v="2026"/>
    <x v="1"/>
    <s v="Monday"/>
    <s v="11:52:00"/>
    <n v="11"/>
    <x v="0"/>
    <s v="Coffee"/>
    <n v="1"/>
    <n v="15"/>
    <s v="E-Wallet"/>
    <s v="Takeaway"/>
    <n v="15"/>
  </r>
  <r>
    <s v="2026-09-14"/>
    <n v="2026"/>
    <x v="1"/>
    <s v="Monday"/>
    <s v="12:56:00"/>
    <n v="12"/>
    <x v="4"/>
    <s v="Coffee"/>
    <n v="1"/>
    <n v="13"/>
    <s v="E-Wallet"/>
    <s v="Takeaway"/>
    <n v="13"/>
  </r>
  <r>
    <s v="2026-09-14"/>
    <n v="2026"/>
    <x v="1"/>
    <s v="Monday"/>
    <s v="13:16:00"/>
    <n v="13"/>
    <x v="2"/>
    <s v="Non-Coffee"/>
    <n v="3"/>
    <n v="14"/>
    <s v="E-Wallet"/>
    <s v="Dine-In"/>
    <n v="42"/>
  </r>
  <r>
    <s v="2026-09-14"/>
    <n v="2026"/>
    <x v="1"/>
    <s v="Monday"/>
    <s v="14:15:00"/>
    <n v="14"/>
    <x v="3"/>
    <s v="Pastry"/>
    <n v="1"/>
    <n v="9"/>
    <s v="Card"/>
    <s v="Dine-In"/>
    <n v="9"/>
  </r>
  <r>
    <s v="2026-09-14"/>
    <n v="2026"/>
    <x v="1"/>
    <s v="Monday"/>
    <s v="14:26:00"/>
    <n v="14"/>
    <x v="8"/>
    <s v="Dessert"/>
    <n v="1"/>
    <n v="10"/>
    <s v="Cash"/>
    <s v="Takeaway"/>
    <n v="10"/>
  </r>
  <r>
    <s v="2026-09-14"/>
    <n v="2026"/>
    <x v="1"/>
    <s v="Monday"/>
    <s v="14:53:00"/>
    <n v="14"/>
    <x v="4"/>
    <s v="Coffee"/>
    <n v="1"/>
    <n v="13"/>
    <s v="Cash"/>
    <s v="Dine-In"/>
    <n v="13"/>
  </r>
  <r>
    <s v="2026-09-14"/>
    <n v="2026"/>
    <x v="1"/>
    <s v="Monday"/>
    <s v="16:11:00"/>
    <n v="16"/>
    <x v="8"/>
    <s v="Dessert"/>
    <n v="1"/>
    <n v="10"/>
    <s v="E-Wallet"/>
    <s v="Takeaway"/>
    <n v="10"/>
  </r>
  <r>
    <s v="2026-09-14"/>
    <n v="2026"/>
    <x v="1"/>
    <s v="Monday"/>
    <s v="16:26:00"/>
    <n v="16"/>
    <x v="1"/>
    <s v="Coffee"/>
    <n v="3"/>
    <n v="12"/>
    <s v="Card"/>
    <s v="Dine-In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A4158-F5CF-404B-B2CE-BB5CE020BE29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urs">
  <location ref="P19:Q32" firstHeaderRow="1" firstDataRow="1" firstDataCol="1" rowPageCount="1" colPageCount="1"/>
  <pivotFields count="14"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13">
        <item x="0"/>
        <item x="1"/>
        <item x="8"/>
        <item x="2"/>
        <item x="9"/>
        <item x="3"/>
        <item x="4"/>
        <item x="5"/>
        <item x="6"/>
        <item x="10"/>
        <item x="11"/>
        <item x="7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64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90AFD-461E-4834-B5D7-A55629AC2471}" name="PivotTable9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ayment Method">
  <location ref="P10:Q14" firstHeaderRow="1" firstDataRow="1" firstDataCol="1" rowPageCount="1" colPageCount="1"/>
  <pivotFields count="14"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61641-EF37-4E11-BD76-37D193AE1F22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S3:T16" firstHeaderRow="1" firstDataRow="1" firstDataCol="1" rowPageCount="1" colPageCount="1"/>
  <pivotFields count="13"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13">
        <item x="5"/>
        <item x="8"/>
        <item x="1"/>
        <item x="0"/>
        <item x="11"/>
        <item x="10"/>
        <item x="3"/>
        <item x="7"/>
        <item x="6"/>
        <item x="4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  <pivotField showAll="0"/>
    <pivotField showAll="0"/>
    <pivotField numFmtId="164" showAll="0"/>
  </pivotFields>
  <rowFields count="1">
    <field x="6"/>
  </rowFields>
  <rowItems count="13">
    <i>
      <x v="9"/>
    </i>
    <i>
      <x v="2"/>
    </i>
    <i>
      <x/>
    </i>
    <i>
      <x v="11"/>
    </i>
    <i>
      <x v="7"/>
    </i>
    <i>
      <x v="3"/>
    </i>
    <i>
      <x v="8"/>
    </i>
    <i>
      <x v="1"/>
    </i>
    <i>
      <x v="10"/>
    </i>
    <i>
      <x v="6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6DFD7-3348-4C02-90BC-CE4C6069BCFA}" name="PivotTable2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rder Type">
  <location ref="P3:Q6" firstHeaderRow="1" firstDataRow="1" firstDataCol="1" rowPageCount="1" colPageCount="1"/>
  <pivotFields count="14"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numFmtId="164" showAll="0"/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A598D-4012-4396-92BC-7550AC8BFD57}" name="CoffeeSalesRaw3" displayName="CoffeeSalesRaw3" ref="A1:N551" totalsRowShown="0">
  <tableColumns count="14">
    <tableColumn id="1" xr3:uid="{15398513-1BE4-4E01-84E1-EB5C34214FF4}" name="Transaction_ID"/>
    <tableColumn id="2" xr3:uid="{09CF1588-FFDB-4577-8AAF-DD75FE286AC4}" name="Order_Date" dataDxfId="12"/>
    <tableColumn id="13" xr3:uid="{B6E266A9-6540-45AB-9D4B-CB9E01F5A9E3}" name="Year" dataDxfId="11">
      <calculatedColumnFormula>YEAR(B2)</calculatedColumnFormula>
    </tableColumn>
    <tableColumn id="14" xr3:uid="{9CF0509E-4D39-4F48-AD2C-EFABB674033D}" name="Month" dataDxfId="10">
      <calculatedColumnFormula>TEXT(B2,"mmmm")</calculatedColumnFormula>
    </tableColumn>
    <tableColumn id="15" xr3:uid="{9EB110D5-5E92-41B1-8261-7AB16C14FFCE}" name="Day" dataDxfId="9">
      <calculatedColumnFormula>TEXT(B2,"dddd")</calculatedColumnFormula>
    </tableColumn>
    <tableColumn id="3" xr3:uid="{9CF99ADA-0D47-4909-916F-30748E141E91}" name="Order_Time" dataDxfId="8"/>
    <tableColumn id="12" xr3:uid="{D3998C50-8B3A-43E2-A524-B6774546FE0F}" name="Hour" dataDxfId="7">
      <calculatedColumnFormula>HOUR(F2)</calculatedColumnFormula>
    </tableColumn>
    <tableColumn id="4" xr3:uid="{1C0E8AF4-B565-4D60-B31E-994272C6BE68}" name="Product_Name" dataDxfId="6"/>
    <tableColumn id="5" xr3:uid="{22DCC866-7DD4-4CF9-92F4-63F101631008}" name="Category" dataDxfId="5"/>
    <tableColumn id="6" xr3:uid="{DFCF1EEF-B7B1-41E6-89A2-4119E60381FF}" name="Quantity" dataDxfId="4"/>
    <tableColumn id="7" xr3:uid="{66C75A67-D803-4726-97D6-F942B3DF9DBC}" name="Unit_Price_RM" dataDxfId="3"/>
    <tableColumn id="8" xr3:uid="{DE0AFB80-AC56-4236-8CFE-EC7690185513}" name="Payment_Method" dataDxfId="2"/>
    <tableColumn id="9" xr3:uid="{0E421E51-B66C-4326-9805-B06EF4B84847}" name="Order_Type" dataDxfId="1"/>
    <tableColumn id="10" xr3:uid="{47AAEC9B-EBCE-49DE-AE32-AF39953B7044}" name="Total_Amount_R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ffeeSalesRaw" displayName="CoffeeSalesRaw" ref="A1:J551" totalsRowShown="0">
  <tableColumns count="10">
    <tableColumn id="1" xr3:uid="{00000000-0010-0000-0000-000001000000}" name="Transaction_ID"/>
    <tableColumn id="2" xr3:uid="{00000000-0010-0000-0000-000002000000}" name="Order_Date"/>
    <tableColumn id="3" xr3:uid="{00000000-0010-0000-0000-000003000000}" name="Order_Time"/>
    <tableColumn id="4" xr3:uid="{00000000-0010-0000-0000-000004000000}" name="Product_Name"/>
    <tableColumn id="5" xr3:uid="{00000000-0010-0000-0000-000005000000}" name="Category"/>
    <tableColumn id="6" xr3:uid="{00000000-0010-0000-0000-000006000000}" name="Quantity"/>
    <tableColumn id="7" xr3:uid="{00000000-0010-0000-0000-000007000000}" name="Unit_Price_RM"/>
    <tableColumn id="8" xr3:uid="{00000000-0010-0000-0000-000008000000}" name="Payment_Method"/>
    <tableColumn id="9" xr3:uid="{00000000-0010-0000-0000-000009000000}" name="Order_Type"/>
    <tableColumn id="10" xr3:uid="{00000000-0010-0000-0000-00000A000000}" name="Total_Amount_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F84A-D0A3-443E-AB7F-C1DD65543851}">
  <dimension ref="A1:T551"/>
  <sheetViews>
    <sheetView tabSelected="1" topLeftCell="E1" zoomScaleNormal="100" workbookViewId="0">
      <pane ySplit="1" topLeftCell="A2" activePane="bottomLeft" state="frozen"/>
      <selection pane="bottomLeft" activeCell="S19" sqref="S19"/>
    </sheetView>
  </sheetViews>
  <sheetFormatPr defaultRowHeight="14"/>
  <cols>
    <col min="1" max="1" width="20" customWidth="1"/>
    <col min="2" max="2" width="10.5" bestFit="1" customWidth="1"/>
    <col min="3" max="3" width="4.75" bestFit="1" customWidth="1"/>
    <col min="4" max="4" width="9.58203125" bestFit="1" customWidth="1"/>
    <col min="5" max="5" width="10.25" bestFit="1" customWidth="1"/>
    <col min="6" max="6" width="10.83203125" bestFit="1" customWidth="1"/>
    <col min="7" max="7" width="4.9140625" bestFit="1" customWidth="1"/>
    <col min="8" max="8" width="16.4140625" bestFit="1" customWidth="1"/>
    <col min="9" max="9" width="10.25" bestFit="1" customWidth="1"/>
    <col min="10" max="10" width="7.83203125" bestFit="1" customWidth="1"/>
    <col min="11" max="11" width="13.33203125" bestFit="1" customWidth="1"/>
    <col min="12" max="12" width="15.5" bestFit="1" customWidth="1"/>
    <col min="13" max="13" width="10.83203125" bestFit="1" customWidth="1"/>
    <col min="14" max="14" width="16.58203125" bestFit="1" customWidth="1"/>
    <col min="16" max="16" width="12.9140625" bestFit="1" customWidth="1"/>
    <col min="17" max="17" width="21.75" bestFit="1" customWidth="1"/>
    <col min="19" max="19" width="16.4140625" bestFit="1" customWidth="1"/>
    <col min="20" max="20" width="14.5" bestFit="1" customWidth="1"/>
  </cols>
  <sheetData>
    <row r="1" spans="1:20">
      <c r="A1" s="1" t="s">
        <v>0</v>
      </c>
      <c r="B1" s="6" t="s">
        <v>1</v>
      </c>
      <c r="C1" s="6" t="s">
        <v>1026</v>
      </c>
      <c r="D1" s="6" t="s">
        <v>1027</v>
      </c>
      <c r="E1" s="6" t="s">
        <v>1028</v>
      </c>
      <c r="F1" s="6" t="s">
        <v>2</v>
      </c>
      <c r="G1" s="6" t="s">
        <v>1025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P1" s="3" t="s">
        <v>1027</v>
      </c>
      <c r="Q1" t="s">
        <v>1031</v>
      </c>
      <c r="S1" s="3" t="s">
        <v>1027</v>
      </c>
      <c r="T1" t="s">
        <v>1031</v>
      </c>
    </row>
    <row r="2" spans="1:20">
      <c r="A2" t="s">
        <v>10</v>
      </c>
      <c r="B2" s="4" t="s">
        <v>11</v>
      </c>
      <c r="C2" s="4">
        <f>YEAR(B2)</f>
        <v>2026</v>
      </c>
      <c r="D2" s="4" t="str">
        <f>TEXT(B2,"mmmm")</f>
        <v>August</v>
      </c>
      <c r="E2" s="4" t="str">
        <f>TEXT(B2,"dddd")</f>
        <v>Saturday</v>
      </c>
      <c r="F2" s="4" t="s">
        <v>12</v>
      </c>
      <c r="G2" s="4">
        <f>HOUR(F2)</f>
        <v>8</v>
      </c>
      <c r="H2" s="4" t="s">
        <v>13</v>
      </c>
      <c r="I2" s="4" t="s">
        <v>14</v>
      </c>
      <c r="J2" s="4">
        <v>1</v>
      </c>
      <c r="K2" s="5">
        <v>15</v>
      </c>
      <c r="L2" s="4" t="s">
        <v>15</v>
      </c>
      <c r="M2" s="4" t="s">
        <v>16</v>
      </c>
      <c r="N2" s="5">
        <v>15</v>
      </c>
    </row>
    <row r="3" spans="1:20">
      <c r="A3" t="s">
        <v>17</v>
      </c>
      <c r="B3" s="4" t="s">
        <v>11</v>
      </c>
      <c r="C3" s="4">
        <f t="shared" ref="C3:C66" si="0">YEAR(B3)</f>
        <v>2026</v>
      </c>
      <c r="D3" s="4" t="str">
        <f t="shared" ref="D3:D66" si="1">TEXT(B3,"mmmm")</f>
        <v>August</v>
      </c>
      <c r="E3" s="4" t="str">
        <f t="shared" ref="E3:E66" si="2">TEXT(B3,"dddd")</f>
        <v>Saturday</v>
      </c>
      <c r="F3" s="4" t="s">
        <v>18</v>
      </c>
      <c r="G3" s="4">
        <f t="shared" ref="G3:G66" si="3">HOUR(F3)</f>
        <v>9</v>
      </c>
      <c r="H3" s="4" t="s">
        <v>13</v>
      </c>
      <c r="I3" s="4" t="s">
        <v>14</v>
      </c>
      <c r="J3" s="4">
        <v>1</v>
      </c>
      <c r="K3" s="5">
        <v>15</v>
      </c>
      <c r="L3" s="4" t="s">
        <v>15</v>
      </c>
      <c r="M3" s="4" t="s">
        <v>16</v>
      </c>
      <c r="N3" s="5">
        <v>15</v>
      </c>
      <c r="P3" s="3" t="s">
        <v>1033</v>
      </c>
      <c r="Q3" t="s">
        <v>1032</v>
      </c>
      <c r="S3" s="3" t="s">
        <v>1035</v>
      </c>
      <c r="T3" t="s">
        <v>1030</v>
      </c>
    </row>
    <row r="4" spans="1:20">
      <c r="A4" t="s">
        <v>19</v>
      </c>
      <c r="B4" s="4" t="s">
        <v>11</v>
      </c>
      <c r="C4" s="4">
        <f t="shared" si="0"/>
        <v>2026</v>
      </c>
      <c r="D4" s="4" t="str">
        <f t="shared" si="1"/>
        <v>August</v>
      </c>
      <c r="E4" s="4" t="str">
        <f t="shared" si="2"/>
        <v>Saturday</v>
      </c>
      <c r="F4" s="4" t="s">
        <v>20</v>
      </c>
      <c r="G4" s="4">
        <f t="shared" si="3"/>
        <v>9</v>
      </c>
      <c r="H4" s="4" t="s">
        <v>21</v>
      </c>
      <c r="I4" s="4" t="s">
        <v>14</v>
      </c>
      <c r="J4" s="4">
        <v>2</v>
      </c>
      <c r="K4" s="5">
        <v>12</v>
      </c>
      <c r="L4" s="4" t="s">
        <v>15</v>
      </c>
      <c r="M4" s="4" t="s">
        <v>16</v>
      </c>
      <c r="N4" s="5">
        <v>24</v>
      </c>
      <c r="P4" s="4" t="s">
        <v>44</v>
      </c>
      <c r="Q4" s="7">
        <v>268</v>
      </c>
      <c r="S4" s="4" t="s">
        <v>35</v>
      </c>
      <c r="T4" s="7">
        <v>131</v>
      </c>
    </row>
    <row r="5" spans="1:20">
      <c r="A5" t="s">
        <v>22</v>
      </c>
      <c r="B5" s="4" t="s">
        <v>11</v>
      </c>
      <c r="C5" s="4">
        <f t="shared" si="0"/>
        <v>2026</v>
      </c>
      <c r="D5" s="4" t="str">
        <f t="shared" si="1"/>
        <v>August</v>
      </c>
      <c r="E5" s="4" t="str">
        <f t="shared" si="2"/>
        <v>Saturday</v>
      </c>
      <c r="F5" s="4" t="s">
        <v>23</v>
      </c>
      <c r="G5" s="4">
        <f t="shared" si="3"/>
        <v>11</v>
      </c>
      <c r="H5" s="4" t="s">
        <v>24</v>
      </c>
      <c r="I5" s="4" t="s">
        <v>25</v>
      </c>
      <c r="J5" s="4">
        <v>1</v>
      </c>
      <c r="K5" s="5">
        <v>14</v>
      </c>
      <c r="L5" s="4" t="s">
        <v>26</v>
      </c>
      <c r="M5" s="4" t="s">
        <v>16</v>
      </c>
      <c r="N5" s="5">
        <v>14</v>
      </c>
      <c r="P5" s="4" t="s">
        <v>16</v>
      </c>
      <c r="Q5" s="7">
        <v>282</v>
      </c>
      <c r="S5" s="4" t="s">
        <v>21</v>
      </c>
      <c r="T5" s="7">
        <v>107</v>
      </c>
    </row>
    <row r="6" spans="1:20">
      <c r="A6" t="s">
        <v>27</v>
      </c>
      <c r="B6" s="4" t="s">
        <v>11</v>
      </c>
      <c r="C6" s="4">
        <f t="shared" si="0"/>
        <v>2026</v>
      </c>
      <c r="D6" s="4" t="str">
        <f t="shared" si="1"/>
        <v>August</v>
      </c>
      <c r="E6" s="4" t="str">
        <f t="shared" si="2"/>
        <v>Saturday</v>
      </c>
      <c r="F6" s="4" t="s">
        <v>28</v>
      </c>
      <c r="G6" s="4">
        <f t="shared" si="3"/>
        <v>11</v>
      </c>
      <c r="H6" s="4" t="s">
        <v>29</v>
      </c>
      <c r="I6" s="4" t="s">
        <v>30</v>
      </c>
      <c r="J6" s="4">
        <v>1</v>
      </c>
      <c r="K6" s="5">
        <v>9</v>
      </c>
      <c r="L6" s="4" t="s">
        <v>26</v>
      </c>
      <c r="M6" s="4" t="s">
        <v>16</v>
      </c>
      <c r="N6" s="5">
        <v>9</v>
      </c>
      <c r="P6" s="4" t="s">
        <v>1029</v>
      </c>
      <c r="Q6" s="7">
        <v>550</v>
      </c>
      <c r="S6" s="4" t="s">
        <v>38</v>
      </c>
      <c r="T6" s="7">
        <v>85</v>
      </c>
    </row>
    <row r="7" spans="1:20">
      <c r="A7" t="s">
        <v>31</v>
      </c>
      <c r="B7" s="4" t="s">
        <v>11</v>
      </c>
      <c r="C7" s="4">
        <f t="shared" si="0"/>
        <v>2026</v>
      </c>
      <c r="D7" s="4" t="str">
        <f t="shared" si="1"/>
        <v>August</v>
      </c>
      <c r="E7" s="4" t="str">
        <f t="shared" si="2"/>
        <v>Saturday</v>
      </c>
      <c r="F7" s="4" t="s">
        <v>32</v>
      </c>
      <c r="G7" s="4">
        <f t="shared" si="3"/>
        <v>13</v>
      </c>
      <c r="H7" s="4" t="s">
        <v>24</v>
      </c>
      <c r="I7" s="4" t="s">
        <v>25</v>
      </c>
      <c r="J7" s="4">
        <v>2</v>
      </c>
      <c r="K7" s="5">
        <v>14</v>
      </c>
      <c r="L7" s="4" t="s">
        <v>26</v>
      </c>
      <c r="M7" s="4" t="s">
        <v>16</v>
      </c>
      <c r="N7" s="5">
        <v>28</v>
      </c>
      <c r="S7" s="4" t="s">
        <v>72</v>
      </c>
      <c r="T7" s="7">
        <v>67</v>
      </c>
    </row>
    <row r="8" spans="1:20">
      <c r="A8" t="s">
        <v>33</v>
      </c>
      <c r="B8" s="4" t="s">
        <v>11</v>
      </c>
      <c r="C8" s="4">
        <f t="shared" si="0"/>
        <v>2026</v>
      </c>
      <c r="D8" s="4" t="str">
        <f t="shared" si="1"/>
        <v>August</v>
      </c>
      <c r="E8" s="4" t="str">
        <f t="shared" si="2"/>
        <v>Saturday</v>
      </c>
      <c r="F8" s="4" t="s">
        <v>34</v>
      </c>
      <c r="G8" s="4">
        <f t="shared" si="3"/>
        <v>13</v>
      </c>
      <c r="H8" s="4" t="s">
        <v>35</v>
      </c>
      <c r="I8" s="4" t="s">
        <v>14</v>
      </c>
      <c r="J8" s="4">
        <v>2</v>
      </c>
      <c r="K8" s="5">
        <v>13</v>
      </c>
      <c r="L8" s="4" t="s">
        <v>26</v>
      </c>
      <c r="M8" s="4" t="s">
        <v>16</v>
      </c>
      <c r="N8" s="5">
        <v>26</v>
      </c>
      <c r="P8" s="3" t="s">
        <v>1027</v>
      </c>
      <c r="Q8" t="s">
        <v>1031</v>
      </c>
      <c r="S8" s="4" t="s">
        <v>54</v>
      </c>
      <c r="T8" s="7">
        <v>60</v>
      </c>
    </row>
    <row r="9" spans="1:20">
      <c r="A9" t="s">
        <v>36</v>
      </c>
      <c r="B9" s="4" t="s">
        <v>11</v>
      </c>
      <c r="C9" s="4">
        <f t="shared" si="0"/>
        <v>2026</v>
      </c>
      <c r="D9" s="4" t="str">
        <f t="shared" si="1"/>
        <v>August</v>
      </c>
      <c r="E9" s="4" t="str">
        <f t="shared" si="2"/>
        <v>Saturday</v>
      </c>
      <c r="F9" s="4" t="s">
        <v>37</v>
      </c>
      <c r="G9" s="4">
        <f t="shared" si="3"/>
        <v>14</v>
      </c>
      <c r="H9" s="4" t="s">
        <v>38</v>
      </c>
      <c r="I9" s="4" t="s">
        <v>14</v>
      </c>
      <c r="J9" s="4">
        <v>2</v>
      </c>
      <c r="K9" s="5">
        <v>9</v>
      </c>
      <c r="L9" s="4" t="s">
        <v>26</v>
      </c>
      <c r="M9" s="4" t="s">
        <v>16</v>
      </c>
      <c r="N9" s="5">
        <v>18</v>
      </c>
      <c r="S9" s="4" t="s">
        <v>13</v>
      </c>
      <c r="T9" s="7">
        <v>59</v>
      </c>
    </row>
    <row r="10" spans="1:20">
      <c r="A10" t="s">
        <v>39</v>
      </c>
      <c r="B10" s="4" t="s">
        <v>11</v>
      </c>
      <c r="C10" s="4">
        <f t="shared" si="0"/>
        <v>2026</v>
      </c>
      <c r="D10" s="4" t="str">
        <f t="shared" si="1"/>
        <v>August</v>
      </c>
      <c r="E10" s="4" t="str">
        <f t="shared" si="2"/>
        <v>Saturday</v>
      </c>
      <c r="F10" s="4" t="s">
        <v>40</v>
      </c>
      <c r="G10" s="4">
        <f t="shared" si="3"/>
        <v>15</v>
      </c>
      <c r="H10" s="4" t="s">
        <v>38</v>
      </c>
      <c r="I10" s="4" t="s">
        <v>14</v>
      </c>
      <c r="J10" s="4">
        <v>1</v>
      </c>
      <c r="K10" s="5">
        <v>9</v>
      </c>
      <c r="L10" s="4" t="s">
        <v>41</v>
      </c>
      <c r="M10" s="4" t="s">
        <v>16</v>
      </c>
      <c r="N10" s="5">
        <v>9</v>
      </c>
      <c r="P10" s="3" t="s">
        <v>1034</v>
      </c>
      <c r="Q10" t="s">
        <v>1032</v>
      </c>
      <c r="S10" s="4" t="s">
        <v>51</v>
      </c>
      <c r="T10" s="7">
        <v>58</v>
      </c>
    </row>
    <row r="11" spans="1:20">
      <c r="A11" t="s">
        <v>42</v>
      </c>
      <c r="B11" s="4" t="s">
        <v>11</v>
      </c>
      <c r="C11" s="4">
        <f t="shared" si="0"/>
        <v>2026</v>
      </c>
      <c r="D11" s="4" t="str">
        <f t="shared" si="1"/>
        <v>August</v>
      </c>
      <c r="E11" s="4" t="str">
        <f t="shared" si="2"/>
        <v>Saturday</v>
      </c>
      <c r="F11" s="4" t="s">
        <v>43</v>
      </c>
      <c r="G11" s="4">
        <f t="shared" si="3"/>
        <v>15</v>
      </c>
      <c r="H11" s="4" t="s">
        <v>21</v>
      </c>
      <c r="I11" s="4" t="s">
        <v>14</v>
      </c>
      <c r="J11" s="4">
        <v>2</v>
      </c>
      <c r="K11" s="5">
        <v>12</v>
      </c>
      <c r="L11" s="4" t="s">
        <v>26</v>
      </c>
      <c r="M11" s="4" t="s">
        <v>44</v>
      </c>
      <c r="N11" s="5">
        <v>24</v>
      </c>
      <c r="P11" s="4" t="s">
        <v>15</v>
      </c>
      <c r="Q11" s="7">
        <v>156</v>
      </c>
      <c r="S11" s="4" t="s">
        <v>62</v>
      </c>
      <c r="T11" s="7">
        <v>55</v>
      </c>
    </row>
    <row r="12" spans="1:20">
      <c r="A12" t="s">
        <v>45</v>
      </c>
      <c r="B12" s="4" t="s">
        <v>11</v>
      </c>
      <c r="C12" s="4">
        <f t="shared" si="0"/>
        <v>2026</v>
      </c>
      <c r="D12" s="4" t="str">
        <f t="shared" si="1"/>
        <v>August</v>
      </c>
      <c r="E12" s="4" t="str">
        <f t="shared" si="2"/>
        <v>Saturday</v>
      </c>
      <c r="F12" s="4" t="s">
        <v>46</v>
      </c>
      <c r="G12" s="4">
        <f t="shared" si="3"/>
        <v>16</v>
      </c>
      <c r="H12" s="4" t="s">
        <v>29</v>
      </c>
      <c r="I12" s="4" t="s">
        <v>30</v>
      </c>
      <c r="J12" s="4">
        <v>1</v>
      </c>
      <c r="K12" s="5">
        <v>9</v>
      </c>
      <c r="L12" s="4" t="s">
        <v>15</v>
      </c>
      <c r="M12" s="4" t="s">
        <v>16</v>
      </c>
      <c r="N12" s="5">
        <v>9</v>
      </c>
      <c r="P12" s="4" t="s">
        <v>41</v>
      </c>
      <c r="Q12" s="7">
        <v>136</v>
      </c>
      <c r="S12" s="4" t="s">
        <v>24</v>
      </c>
      <c r="T12" s="7">
        <v>50</v>
      </c>
    </row>
    <row r="13" spans="1:20">
      <c r="A13" t="s">
        <v>47</v>
      </c>
      <c r="B13" s="4" t="s">
        <v>11</v>
      </c>
      <c r="C13" s="4">
        <f t="shared" si="0"/>
        <v>2026</v>
      </c>
      <c r="D13" s="4" t="str">
        <f t="shared" si="1"/>
        <v>August</v>
      </c>
      <c r="E13" s="4" t="str">
        <f t="shared" si="2"/>
        <v>Saturday</v>
      </c>
      <c r="F13" s="4" t="s">
        <v>48</v>
      </c>
      <c r="G13" s="4">
        <f t="shared" si="3"/>
        <v>16</v>
      </c>
      <c r="H13" s="4" t="s">
        <v>21</v>
      </c>
      <c r="I13" s="4" t="s">
        <v>14</v>
      </c>
      <c r="J13" s="4">
        <v>3</v>
      </c>
      <c r="K13" s="5">
        <v>12</v>
      </c>
      <c r="L13" s="4" t="s">
        <v>26</v>
      </c>
      <c r="M13" s="4" t="s">
        <v>44</v>
      </c>
      <c r="N13" s="5">
        <v>36</v>
      </c>
      <c r="P13" s="4" t="s">
        <v>26</v>
      </c>
      <c r="Q13" s="7">
        <v>258</v>
      </c>
      <c r="S13" s="4" t="s">
        <v>29</v>
      </c>
      <c r="T13" s="7">
        <v>48</v>
      </c>
    </row>
    <row r="14" spans="1:20">
      <c r="A14" t="s">
        <v>49</v>
      </c>
      <c r="B14" s="4" t="s">
        <v>11</v>
      </c>
      <c r="C14" s="4">
        <f t="shared" si="0"/>
        <v>2026</v>
      </c>
      <c r="D14" s="4" t="str">
        <f t="shared" si="1"/>
        <v>August</v>
      </c>
      <c r="E14" s="4" t="str">
        <f t="shared" si="2"/>
        <v>Saturday</v>
      </c>
      <c r="F14" s="4" t="s">
        <v>50</v>
      </c>
      <c r="G14" s="4">
        <f t="shared" si="3"/>
        <v>19</v>
      </c>
      <c r="H14" s="4" t="s">
        <v>51</v>
      </c>
      <c r="I14" s="4" t="s">
        <v>14</v>
      </c>
      <c r="J14" s="4">
        <v>2</v>
      </c>
      <c r="K14" s="5">
        <v>7</v>
      </c>
      <c r="L14" s="4" t="s">
        <v>26</v>
      </c>
      <c r="M14" s="4" t="s">
        <v>44</v>
      </c>
      <c r="N14" s="5">
        <v>14</v>
      </c>
      <c r="P14" s="4" t="s">
        <v>1029</v>
      </c>
      <c r="Q14" s="7">
        <v>550</v>
      </c>
      <c r="S14" s="4" t="s">
        <v>115</v>
      </c>
      <c r="T14" s="7">
        <v>42</v>
      </c>
    </row>
    <row r="15" spans="1:20">
      <c r="A15" t="s">
        <v>52</v>
      </c>
      <c r="B15" s="4" t="s">
        <v>11</v>
      </c>
      <c r="C15" s="4">
        <f t="shared" si="0"/>
        <v>2026</v>
      </c>
      <c r="D15" s="4" t="str">
        <f t="shared" si="1"/>
        <v>August</v>
      </c>
      <c r="E15" s="4" t="str">
        <f t="shared" si="2"/>
        <v>Saturday</v>
      </c>
      <c r="F15" s="4" t="s">
        <v>53</v>
      </c>
      <c r="G15" s="4">
        <f t="shared" si="3"/>
        <v>19</v>
      </c>
      <c r="H15" s="4" t="s">
        <v>54</v>
      </c>
      <c r="I15" s="4" t="s">
        <v>30</v>
      </c>
      <c r="J15" s="4">
        <v>3</v>
      </c>
      <c r="K15" s="5">
        <v>8</v>
      </c>
      <c r="L15" s="4" t="s">
        <v>15</v>
      </c>
      <c r="M15" s="4" t="s">
        <v>16</v>
      </c>
      <c r="N15" s="5">
        <v>24</v>
      </c>
      <c r="S15" s="4" t="s">
        <v>105</v>
      </c>
      <c r="T15" s="7">
        <v>29</v>
      </c>
    </row>
    <row r="16" spans="1:20">
      <c r="A16" t="s">
        <v>55</v>
      </c>
      <c r="B16" s="4" t="s">
        <v>56</v>
      </c>
      <c r="C16" s="4">
        <f t="shared" si="0"/>
        <v>2026</v>
      </c>
      <c r="D16" s="4" t="str">
        <f t="shared" si="1"/>
        <v>August</v>
      </c>
      <c r="E16" s="4" t="str">
        <f t="shared" si="2"/>
        <v>Sunday</v>
      </c>
      <c r="F16" s="4" t="s">
        <v>57</v>
      </c>
      <c r="G16" s="4">
        <f t="shared" si="3"/>
        <v>8</v>
      </c>
      <c r="H16" s="4" t="s">
        <v>38</v>
      </c>
      <c r="I16" s="4" t="s">
        <v>14</v>
      </c>
      <c r="J16" s="4">
        <v>1</v>
      </c>
      <c r="K16" s="5">
        <v>9</v>
      </c>
      <c r="L16" s="4" t="s">
        <v>15</v>
      </c>
      <c r="M16" s="4" t="s">
        <v>44</v>
      </c>
      <c r="N16" s="5">
        <v>9</v>
      </c>
      <c r="S16" s="4" t="s">
        <v>1029</v>
      </c>
      <c r="T16" s="7">
        <v>791</v>
      </c>
    </row>
    <row r="17" spans="1:17">
      <c r="A17" t="s">
        <v>58</v>
      </c>
      <c r="B17" s="4" t="s">
        <v>56</v>
      </c>
      <c r="C17" s="4">
        <f t="shared" si="0"/>
        <v>2026</v>
      </c>
      <c r="D17" s="4" t="str">
        <f t="shared" si="1"/>
        <v>August</v>
      </c>
      <c r="E17" s="4" t="str">
        <f t="shared" si="2"/>
        <v>Sunday</v>
      </c>
      <c r="F17" s="4" t="s">
        <v>59</v>
      </c>
      <c r="G17" s="4">
        <f t="shared" si="3"/>
        <v>9</v>
      </c>
      <c r="H17" s="4" t="s">
        <v>13</v>
      </c>
      <c r="I17" s="4" t="s">
        <v>14</v>
      </c>
      <c r="J17" s="4">
        <v>1</v>
      </c>
      <c r="K17" s="5">
        <v>15</v>
      </c>
      <c r="L17" s="4" t="s">
        <v>15</v>
      </c>
      <c r="M17" s="4" t="s">
        <v>16</v>
      </c>
      <c r="N17" s="5">
        <v>15</v>
      </c>
      <c r="P17" s="3" t="s">
        <v>1027</v>
      </c>
      <c r="Q17" t="s">
        <v>1031</v>
      </c>
    </row>
    <row r="18" spans="1:17">
      <c r="A18" t="s">
        <v>60</v>
      </c>
      <c r="B18" s="4" t="s">
        <v>56</v>
      </c>
      <c r="C18" s="4">
        <f t="shared" si="0"/>
        <v>2026</v>
      </c>
      <c r="D18" s="4" t="str">
        <f t="shared" si="1"/>
        <v>August</v>
      </c>
      <c r="E18" s="4" t="str">
        <f t="shared" si="2"/>
        <v>Sunday</v>
      </c>
      <c r="F18" s="4" t="s">
        <v>61</v>
      </c>
      <c r="G18" s="4">
        <f t="shared" si="3"/>
        <v>10</v>
      </c>
      <c r="H18" s="4" t="s">
        <v>62</v>
      </c>
      <c r="I18" s="4" t="s">
        <v>63</v>
      </c>
      <c r="J18" s="4">
        <v>3</v>
      </c>
      <c r="K18" s="5">
        <v>10</v>
      </c>
      <c r="L18" s="4" t="s">
        <v>26</v>
      </c>
      <c r="M18" s="4" t="s">
        <v>16</v>
      </c>
      <c r="N18" s="5">
        <v>30</v>
      </c>
    </row>
    <row r="19" spans="1:17">
      <c r="A19" t="s">
        <v>64</v>
      </c>
      <c r="B19" s="4" t="s">
        <v>56</v>
      </c>
      <c r="C19" s="4">
        <f t="shared" si="0"/>
        <v>2026</v>
      </c>
      <c r="D19" s="4" t="str">
        <f t="shared" si="1"/>
        <v>August</v>
      </c>
      <c r="E19" s="4" t="str">
        <f t="shared" si="2"/>
        <v>Sunday</v>
      </c>
      <c r="F19" s="4" t="s">
        <v>65</v>
      </c>
      <c r="G19" s="4">
        <f t="shared" si="3"/>
        <v>10</v>
      </c>
      <c r="H19" s="4" t="s">
        <v>29</v>
      </c>
      <c r="I19" s="4" t="s">
        <v>30</v>
      </c>
      <c r="J19" s="4">
        <v>1</v>
      </c>
      <c r="K19" s="5">
        <v>9</v>
      </c>
      <c r="L19" s="4" t="s">
        <v>41</v>
      </c>
      <c r="M19" s="4" t="s">
        <v>16</v>
      </c>
      <c r="N19" s="5">
        <v>9</v>
      </c>
      <c r="P19" s="3" t="s">
        <v>1036</v>
      </c>
      <c r="Q19" t="s">
        <v>1032</v>
      </c>
    </row>
    <row r="20" spans="1:17">
      <c r="A20" t="s">
        <v>66</v>
      </c>
      <c r="B20" s="4" t="s">
        <v>56</v>
      </c>
      <c r="C20" s="4">
        <f t="shared" si="0"/>
        <v>2026</v>
      </c>
      <c r="D20" s="4" t="str">
        <f t="shared" si="1"/>
        <v>August</v>
      </c>
      <c r="E20" s="4" t="str">
        <f t="shared" si="2"/>
        <v>Sunday</v>
      </c>
      <c r="F20" s="4" t="s">
        <v>67</v>
      </c>
      <c r="G20" s="4">
        <f t="shared" si="3"/>
        <v>11</v>
      </c>
      <c r="H20" s="4" t="s">
        <v>35</v>
      </c>
      <c r="I20" s="4" t="s">
        <v>14</v>
      </c>
      <c r="J20" s="4">
        <v>1</v>
      </c>
      <c r="K20" s="5">
        <v>13</v>
      </c>
      <c r="L20" s="4" t="s">
        <v>41</v>
      </c>
      <c r="M20" s="4" t="s">
        <v>16</v>
      </c>
      <c r="N20" s="5">
        <v>13</v>
      </c>
      <c r="P20" s="4">
        <v>8</v>
      </c>
      <c r="Q20" s="7">
        <v>30</v>
      </c>
    </row>
    <row r="21" spans="1:17">
      <c r="A21" t="s">
        <v>68</v>
      </c>
      <c r="B21" s="4" t="s">
        <v>56</v>
      </c>
      <c r="C21" s="4">
        <f t="shared" si="0"/>
        <v>2026</v>
      </c>
      <c r="D21" s="4" t="str">
        <f t="shared" si="1"/>
        <v>August</v>
      </c>
      <c r="E21" s="4" t="str">
        <f t="shared" si="2"/>
        <v>Sunday</v>
      </c>
      <c r="F21" s="4" t="s">
        <v>69</v>
      </c>
      <c r="G21" s="4">
        <f t="shared" si="3"/>
        <v>12</v>
      </c>
      <c r="H21" s="4" t="s">
        <v>24</v>
      </c>
      <c r="I21" s="4" t="s">
        <v>25</v>
      </c>
      <c r="J21" s="4">
        <v>2</v>
      </c>
      <c r="K21" s="5">
        <v>14</v>
      </c>
      <c r="L21" s="4" t="s">
        <v>26</v>
      </c>
      <c r="M21" s="4" t="s">
        <v>44</v>
      </c>
      <c r="N21" s="5">
        <v>28</v>
      </c>
      <c r="P21" s="4">
        <v>9</v>
      </c>
      <c r="Q21" s="7">
        <v>35</v>
      </c>
    </row>
    <row r="22" spans="1:17">
      <c r="A22" t="s">
        <v>70</v>
      </c>
      <c r="B22" s="4" t="s">
        <v>56</v>
      </c>
      <c r="C22" s="4">
        <f t="shared" si="0"/>
        <v>2026</v>
      </c>
      <c r="D22" s="4" t="str">
        <f t="shared" si="1"/>
        <v>August</v>
      </c>
      <c r="E22" s="4" t="str">
        <f t="shared" si="2"/>
        <v>Sunday</v>
      </c>
      <c r="F22" s="4" t="s">
        <v>71</v>
      </c>
      <c r="G22" s="4">
        <f t="shared" si="3"/>
        <v>13</v>
      </c>
      <c r="H22" s="4" t="s">
        <v>72</v>
      </c>
      <c r="I22" s="4" t="s">
        <v>14</v>
      </c>
      <c r="J22" s="4">
        <v>1</v>
      </c>
      <c r="K22" s="5">
        <v>14</v>
      </c>
      <c r="L22" s="4" t="s">
        <v>41</v>
      </c>
      <c r="M22" s="4" t="s">
        <v>44</v>
      </c>
      <c r="N22" s="5">
        <v>14</v>
      </c>
      <c r="P22" s="4">
        <v>10</v>
      </c>
      <c r="Q22" s="7">
        <v>66</v>
      </c>
    </row>
    <row r="23" spans="1:17">
      <c r="A23" t="s">
        <v>73</v>
      </c>
      <c r="B23" s="4" t="s">
        <v>56</v>
      </c>
      <c r="C23" s="4">
        <f t="shared" si="0"/>
        <v>2026</v>
      </c>
      <c r="D23" s="4" t="str">
        <f t="shared" si="1"/>
        <v>August</v>
      </c>
      <c r="E23" s="4" t="str">
        <f t="shared" si="2"/>
        <v>Sunday</v>
      </c>
      <c r="F23" s="4" t="s">
        <v>74</v>
      </c>
      <c r="G23" s="4">
        <f t="shared" si="3"/>
        <v>15</v>
      </c>
      <c r="H23" s="4" t="s">
        <v>72</v>
      </c>
      <c r="I23" s="4" t="s">
        <v>14</v>
      </c>
      <c r="J23" s="4">
        <v>2</v>
      </c>
      <c r="K23" s="5">
        <v>14</v>
      </c>
      <c r="L23" s="4" t="s">
        <v>15</v>
      </c>
      <c r="M23" s="4" t="s">
        <v>16</v>
      </c>
      <c r="N23" s="5">
        <v>28</v>
      </c>
      <c r="P23" s="4">
        <v>11</v>
      </c>
      <c r="Q23" s="7">
        <v>51</v>
      </c>
    </row>
    <row r="24" spans="1:17">
      <c r="A24" t="s">
        <v>75</v>
      </c>
      <c r="B24" s="4" t="s">
        <v>56</v>
      </c>
      <c r="C24" s="4">
        <f t="shared" si="0"/>
        <v>2026</v>
      </c>
      <c r="D24" s="4" t="str">
        <f t="shared" si="1"/>
        <v>August</v>
      </c>
      <c r="E24" s="4" t="str">
        <f t="shared" si="2"/>
        <v>Sunday</v>
      </c>
      <c r="F24" s="4" t="s">
        <v>76</v>
      </c>
      <c r="G24" s="4">
        <f t="shared" si="3"/>
        <v>16</v>
      </c>
      <c r="H24" s="4" t="s">
        <v>24</v>
      </c>
      <c r="I24" s="4" t="s">
        <v>25</v>
      </c>
      <c r="J24" s="4">
        <v>1</v>
      </c>
      <c r="K24" s="5">
        <v>14</v>
      </c>
      <c r="L24" s="4" t="s">
        <v>41</v>
      </c>
      <c r="M24" s="4" t="s">
        <v>16</v>
      </c>
      <c r="N24" s="5">
        <v>14</v>
      </c>
      <c r="P24" s="4">
        <v>12</v>
      </c>
      <c r="Q24" s="7">
        <v>38</v>
      </c>
    </row>
    <row r="25" spans="1:17">
      <c r="A25" t="s">
        <v>77</v>
      </c>
      <c r="B25" s="4" t="s">
        <v>56</v>
      </c>
      <c r="C25" s="4">
        <f t="shared" si="0"/>
        <v>2026</v>
      </c>
      <c r="D25" s="4" t="str">
        <f t="shared" si="1"/>
        <v>August</v>
      </c>
      <c r="E25" s="4" t="str">
        <f t="shared" si="2"/>
        <v>Sunday</v>
      </c>
      <c r="F25" s="4" t="s">
        <v>78</v>
      </c>
      <c r="G25" s="4">
        <f t="shared" si="3"/>
        <v>17</v>
      </c>
      <c r="H25" s="4" t="s">
        <v>13</v>
      </c>
      <c r="I25" s="4" t="s">
        <v>14</v>
      </c>
      <c r="J25" s="4">
        <v>2</v>
      </c>
      <c r="K25" s="5">
        <v>15</v>
      </c>
      <c r="L25" s="4" t="s">
        <v>26</v>
      </c>
      <c r="M25" s="4" t="s">
        <v>16</v>
      </c>
      <c r="N25" s="5">
        <v>30</v>
      </c>
      <c r="P25" s="4">
        <v>13</v>
      </c>
      <c r="Q25" s="7">
        <v>41</v>
      </c>
    </row>
    <row r="26" spans="1:17">
      <c r="A26" t="s">
        <v>79</v>
      </c>
      <c r="B26" s="4" t="s">
        <v>56</v>
      </c>
      <c r="C26" s="4">
        <f t="shared" si="0"/>
        <v>2026</v>
      </c>
      <c r="D26" s="4" t="str">
        <f t="shared" si="1"/>
        <v>August</v>
      </c>
      <c r="E26" s="4" t="str">
        <f t="shared" si="2"/>
        <v>Sunday</v>
      </c>
      <c r="F26" s="4" t="s">
        <v>80</v>
      </c>
      <c r="G26" s="4">
        <f t="shared" si="3"/>
        <v>18</v>
      </c>
      <c r="H26" s="4" t="s">
        <v>51</v>
      </c>
      <c r="I26" s="4" t="s">
        <v>14</v>
      </c>
      <c r="J26" s="4">
        <v>2</v>
      </c>
      <c r="K26" s="5">
        <v>7</v>
      </c>
      <c r="L26" s="4" t="s">
        <v>26</v>
      </c>
      <c r="M26" s="4" t="s">
        <v>16</v>
      </c>
      <c r="N26" s="5">
        <v>14</v>
      </c>
      <c r="P26" s="4">
        <v>14</v>
      </c>
      <c r="Q26" s="7">
        <v>56</v>
      </c>
    </row>
    <row r="27" spans="1:17">
      <c r="A27" t="s">
        <v>81</v>
      </c>
      <c r="B27" s="4" t="s">
        <v>56</v>
      </c>
      <c r="C27" s="4">
        <f t="shared" si="0"/>
        <v>2026</v>
      </c>
      <c r="D27" s="4" t="str">
        <f t="shared" si="1"/>
        <v>August</v>
      </c>
      <c r="E27" s="4" t="str">
        <f t="shared" si="2"/>
        <v>Sunday</v>
      </c>
      <c r="F27" s="4" t="s">
        <v>82</v>
      </c>
      <c r="G27" s="4">
        <f t="shared" si="3"/>
        <v>18</v>
      </c>
      <c r="H27" s="4" t="s">
        <v>29</v>
      </c>
      <c r="I27" s="4" t="s">
        <v>30</v>
      </c>
      <c r="J27" s="4">
        <v>1</v>
      </c>
      <c r="K27" s="5">
        <v>9</v>
      </c>
      <c r="L27" s="4" t="s">
        <v>15</v>
      </c>
      <c r="M27" s="4" t="s">
        <v>16</v>
      </c>
      <c r="N27" s="5">
        <v>9</v>
      </c>
      <c r="P27" s="4">
        <v>15</v>
      </c>
      <c r="Q27" s="7">
        <v>53</v>
      </c>
    </row>
    <row r="28" spans="1:17">
      <c r="A28" t="s">
        <v>83</v>
      </c>
      <c r="B28" s="4" t="s">
        <v>56</v>
      </c>
      <c r="C28" s="4">
        <f t="shared" si="0"/>
        <v>2026</v>
      </c>
      <c r="D28" s="4" t="str">
        <f t="shared" si="1"/>
        <v>August</v>
      </c>
      <c r="E28" s="4" t="str">
        <f t="shared" si="2"/>
        <v>Sunday</v>
      </c>
      <c r="F28" s="4" t="s">
        <v>84</v>
      </c>
      <c r="G28" s="4">
        <f t="shared" si="3"/>
        <v>19</v>
      </c>
      <c r="H28" s="4" t="s">
        <v>38</v>
      </c>
      <c r="I28" s="4" t="s">
        <v>14</v>
      </c>
      <c r="J28" s="4">
        <v>1</v>
      </c>
      <c r="K28" s="5">
        <v>9</v>
      </c>
      <c r="L28" s="4" t="s">
        <v>26</v>
      </c>
      <c r="M28" s="4" t="s">
        <v>44</v>
      </c>
      <c r="N28" s="5">
        <v>9</v>
      </c>
      <c r="P28" s="4">
        <v>16</v>
      </c>
      <c r="Q28" s="7">
        <v>53</v>
      </c>
    </row>
    <row r="29" spans="1:17">
      <c r="A29" t="s">
        <v>85</v>
      </c>
      <c r="B29" s="4" t="s">
        <v>56</v>
      </c>
      <c r="C29" s="4">
        <f t="shared" si="0"/>
        <v>2026</v>
      </c>
      <c r="D29" s="4" t="str">
        <f t="shared" si="1"/>
        <v>August</v>
      </c>
      <c r="E29" s="4" t="str">
        <f t="shared" si="2"/>
        <v>Sunday</v>
      </c>
      <c r="F29" s="4" t="s">
        <v>50</v>
      </c>
      <c r="G29" s="4">
        <f t="shared" si="3"/>
        <v>19</v>
      </c>
      <c r="H29" s="4" t="s">
        <v>51</v>
      </c>
      <c r="I29" s="4" t="s">
        <v>14</v>
      </c>
      <c r="J29" s="4">
        <v>1</v>
      </c>
      <c r="K29" s="5">
        <v>7</v>
      </c>
      <c r="L29" s="4" t="s">
        <v>26</v>
      </c>
      <c r="M29" s="4" t="s">
        <v>16</v>
      </c>
      <c r="N29" s="5">
        <v>7</v>
      </c>
      <c r="P29" s="4">
        <v>17</v>
      </c>
      <c r="Q29" s="7">
        <v>58</v>
      </c>
    </row>
    <row r="30" spans="1:17">
      <c r="A30" t="s">
        <v>86</v>
      </c>
      <c r="B30" s="4" t="s">
        <v>87</v>
      </c>
      <c r="C30" s="4">
        <f t="shared" si="0"/>
        <v>2026</v>
      </c>
      <c r="D30" s="4" t="str">
        <f t="shared" si="1"/>
        <v>August</v>
      </c>
      <c r="E30" s="4" t="str">
        <f t="shared" si="2"/>
        <v>Monday</v>
      </c>
      <c r="F30" s="4" t="s">
        <v>88</v>
      </c>
      <c r="G30" s="4">
        <f t="shared" si="3"/>
        <v>10</v>
      </c>
      <c r="H30" s="4" t="s">
        <v>21</v>
      </c>
      <c r="I30" s="4" t="s">
        <v>14</v>
      </c>
      <c r="J30" s="4">
        <v>2</v>
      </c>
      <c r="K30" s="5">
        <v>12</v>
      </c>
      <c r="L30" s="4" t="s">
        <v>26</v>
      </c>
      <c r="M30" s="4" t="s">
        <v>16</v>
      </c>
      <c r="N30" s="5">
        <v>24</v>
      </c>
      <c r="P30" s="4">
        <v>18</v>
      </c>
      <c r="Q30" s="7">
        <v>36</v>
      </c>
    </row>
    <row r="31" spans="1:17">
      <c r="A31" t="s">
        <v>89</v>
      </c>
      <c r="B31" s="4" t="s">
        <v>87</v>
      </c>
      <c r="C31" s="4">
        <f t="shared" si="0"/>
        <v>2026</v>
      </c>
      <c r="D31" s="4" t="str">
        <f t="shared" si="1"/>
        <v>August</v>
      </c>
      <c r="E31" s="4" t="str">
        <f t="shared" si="2"/>
        <v>Monday</v>
      </c>
      <c r="F31" s="4" t="s">
        <v>90</v>
      </c>
      <c r="G31" s="4">
        <f t="shared" si="3"/>
        <v>10</v>
      </c>
      <c r="H31" s="4" t="s">
        <v>35</v>
      </c>
      <c r="I31" s="4" t="s">
        <v>14</v>
      </c>
      <c r="J31" s="4">
        <v>3</v>
      </c>
      <c r="K31" s="5">
        <v>13</v>
      </c>
      <c r="L31" s="4" t="s">
        <v>26</v>
      </c>
      <c r="M31" s="4" t="s">
        <v>44</v>
      </c>
      <c r="N31" s="5">
        <v>39</v>
      </c>
      <c r="P31" s="4">
        <v>19</v>
      </c>
      <c r="Q31" s="7">
        <v>33</v>
      </c>
    </row>
    <row r="32" spans="1:17">
      <c r="A32" t="s">
        <v>91</v>
      </c>
      <c r="B32" s="4" t="s">
        <v>87</v>
      </c>
      <c r="C32" s="4">
        <f t="shared" si="0"/>
        <v>2026</v>
      </c>
      <c r="D32" s="4" t="str">
        <f t="shared" si="1"/>
        <v>August</v>
      </c>
      <c r="E32" s="4" t="str">
        <f t="shared" si="2"/>
        <v>Monday</v>
      </c>
      <c r="F32" s="4" t="s">
        <v>92</v>
      </c>
      <c r="G32" s="4">
        <f t="shared" si="3"/>
        <v>10</v>
      </c>
      <c r="H32" s="4" t="s">
        <v>35</v>
      </c>
      <c r="I32" s="4" t="s">
        <v>14</v>
      </c>
      <c r="J32" s="4">
        <v>2</v>
      </c>
      <c r="K32" s="5">
        <v>13</v>
      </c>
      <c r="L32" s="4" t="s">
        <v>15</v>
      </c>
      <c r="M32" s="4" t="s">
        <v>44</v>
      </c>
      <c r="N32" s="5">
        <v>26</v>
      </c>
      <c r="P32" s="4" t="s">
        <v>1029</v>
      </c>
      <c r="Q32" s="7">
        <v>550</v>
      </c>
    </row>
    <row r="33" spans="1:14">
      <c r="A33" t="s">
        <v>93</v>
      </c>
      <c r="B33" s="4" t="s">
        <v>87</v>
      </c>
      <c r="C33" s="4">
        <f t="shared" si="0"/>
        <v>2026</v>
      </c>
      <c r="D33" s="4" t="str">
        <f t="shared" si="1"/>
        <v>August</v>
      </c>
      <c r="E33" s="4" t="str">
        <f t="shared" si="2"/>
        <v>Monday</v>
      </c>
      <c r="F33" s="4" t="s">
        <v>94</v>
      </c>
      <c r="G33" s="4">
        <f t="shared" si="3"/>
        <v>10</v>
      </c>
      <c r="H33" s="4" t="s">
        <v>35</v>
      </c>
      <c r="I33" s="4" t="s">
        <v>14</v>
      </c>
      <c r="J33" s="4">
        <v>1</v>
      </c>
      <c r="K33" s="5">
        <v>13</v>
      </c>
      <c r="L33" s="4" t="s">
        <v>15</v>
      </c>
      <c r="M33" s="4" t="s">
        <v>44</v>
      </c>
      <c r="N33" s="5">
        <v>13</v>
      </c>
    </row>
    <row r="34" spans="1:14">
      <c r="A34" t="s">
        <v>95</v>
      </c>
      <c r="B34" s="4" t="s">
        <v>87</v>
      </c>
      <c r="C34" s="4">
        <f t="shared" si="0"/>
        <v>2026</v>
      </c>
      <c r="D34" s="4" t="str">
        <f t="shared" si="1"/>
        <v>August</v>
      </c>
      <c r="E34" s="4" t="str">
        <f t="shared" si="2"/>
        <v>Monday</v>
      </c>
      <c r="F34" s="4" t="s">
        <v>96</v>
      </c>
      <c r="G34" s="4">
        <f t="shared" si="3"/>
        <v>12</v>
      </c>
      <c r="H34" s="4" t="s">
        <v>38</v>
      </c>
      <c r="I34" s="4" t="s">
        <v>14</v>
      </c>
      <c r="J34" s="4">
        <v>1</v>
      </c>
      <c r="K34" s="5">
        <v>9</v>
      </c>
      <c r="L34" s="4" t="s">
        <v>15</v>
      </c>
      <c r="M34" s="4" t="s">
        <v>44</v>
      </c>
      <c r="N34" s="5">
        <v>9</v>
      </c>
    </row>
    <row r="35" spans="1:14">
      <c r="A35" t="s">
        <v>97</v>
      </c>
      <c r="B35" s="4" t="s">
        <v>87</v>
      </c>
      <c r="C35" s="4">
        <f t="shared" si="0"/>
        <v>2026</v>
      </c>
      <c r="D35" s="4" t="str">
        <f t="shared" si="1"/>
        <v>August</v>
      </c>
      <c r="E35" s="4" t="str">
        <f t="shared" si="2"/>
        <v>Monday</v>
      </c>
      <c r="F35" s="4" t="s">
        <v>98</v>
      </c>
      <c r="G35" s="4">
        <f t="shared" si="3"/>
        <v>14</v>
      </c>
      <c r="H35" s="4" t="s">
        <v>21</v>
      </c>
      <c r="I35" s="4" t="s">
        <v>14</v>
      </c>
      <c r="J35" s="4">
        <v>1</v>
      </c>
      <c r="K35" s="5">
        <v>12</v>
      </c>
      <c r="L35" s="4" t="s">
        <v>26</v>
      </c>
      <c r="M35" s="4" t="s">
        <v>16</v>
      </c>
      <c r="N35" s="5">
        <v>12</v>
      </c>
    </row>
    <row r="36" spans="1:14">
      <c r="A36" t="s">
        <v>99</v>
      </c>
      <c r="B36" s="4" t="s">
        <v>87</v>
      </c>
      <c r="C36" s="4">
        <f t="shared" si="0"/>
        <v>2026</v>
      </c>
      <c r="D36" s="4" t="str">
        <f t="shared" si="1"/>
        <v>August</v>
      </c>
      <c r="E36" s="4" t="str">
        <f t="shared" si="2"/>
        <v>Monday</v>
      </c>
      <c r="F36" s="4" t="s">
        <v>100</v>
      </c>
      <c r="G36" s="4">
        <f t="shared" si="3"/>
        <v>15</v>
      </c>
      <c r="H36" s="4" t="s">
        <v>35</v>
      </c>
      <c r="I36" s="4" t="s">
        <v>14</v>
      </c>
      <c r="J36" s="4">
        <v>1</v>
      </c>
      <c r="K36" s="5">
        <v>13</v>
      </c>
      <c r="L36" s="4" t="s">
        <v>26</v>
      </c>
      <c r="M36" s="4" t="s">
        <v>16</v>
      </c>
      <c r="N36" s="5">
        <v>13</v>
      </c>
    </row>
    <row r="37" spans="1:14">
      <c r="A37" t="s">
        <v>101</v>
      </c>
      <c r="B37" s="4" t="s">
        <v>87</v>
      </c>
      <c r="C37" s="4">
        <f t="shared" si="0"/>
        <v>2026</v>
      </c>
      <c r="D37" s="4" t="str">
        <f t="shared" si="1"/>
        <v>August</v>
      </c>
      <c r="E37" s="4" t="str">
        <f t="shared" si="2"/>
        <v>Monday</v>
      </c>
      <c r="F37" s="4" t="s">
        <v>102</v>
      </c>
      <c r="G37" s="4">
        <f t="shared" si="3"/>
        <v>16</v>
      </c>
      <c r="H37" s="4" t="s">
        <v>35</v>
      </c>
      <c r="I37" s="4" t="s">
        <v>14</v>
      </c>
      <c r="J37" s="4">
        <v>1</v>
      </c>
      <c r="K37" s="5">
        <v>13</v>
      </c>
      <c r="L37" s="4" t="s">
        <v>26</v>
      </c>
      <c r="M37" s="4" t="s">
        <v>16</v>
      </c>
      <c r="N37" s="5">
        <v>13</v>
      </c>
    </row>
    <row r="38" spans="1:14">
      <c r="A38" t="s">
        <v>103</v>
      </c>
      <c r="B38" s="4" t="s">
        <v>87</v>
      </c>
      <c r="C38" s="4">
        <f t="shared" si="0"/>
        <v>2026</v>
      </c>
      <c r="D38" s="4" t="str">
        <f t="shared" si="1"/>
        <v>August</v>
      </c>
      <c r="E38" s="4" t="str">
        <f t="shared" si="2"/>
        <v>Monday</v>
      </c>
      <c r="F38" s="4" t="s">
        <v>104</v>
      </c>
      <c r="G38" s="4">
        <f t="shared" si="3"/>
        <v>16</v>
      </c>
      <c r="H38" s="4" t="s">
        <v>105</v>
      </c>
      <c r="I38" s="4" t="s">
        <v>25</v>
      </c>
      <c r="J38" s="4">
        <v>2</v>
      </c>
      <c r="K38" s="5">
        <v>12</v>
      </c>
      <c r="L38" s="4" t="s">
        <v>15</v>
      </c>
      <c r="M38" s="4" t="s">
        <v>44</v>
      </c>
      <c r="N38" s="5">
        <v>24</v>
      </c>
    </row>
    <row r="39" spans="1:14">
      <c r="A39" t="s">
        <v>106</v>
      </c>
      <c r="B39" s="4" t="s">
        <v>87</v>
      </c>
      <c r="C39" s="4">
        <f t="shared" si="0"/>
        <v>2026</v>
      </c>
      <c r="D39" s="4" t="str">
        <f t="shared" si="1"/>
        <v>August</v>
      </c>
      <c r="E39" s="4" t="str">
        <f t="shared" si="2"/>
        <v>Monday</v>
      </c>
      <c r="F39" s="4" t="s">
        <v>107</v>
      </c>
      <c r="G39" s="4">
        <f t="shared" si="3"/>
        <v>17</v>
      </c>
      <c r="H39" s="4" t="s">
        <v>35</v>
      </c>
      <c r="I39" s="4" t="s">
        <v>14</v>
      </c>
      <c r="J39" s="4">
        <v>1</v>
      </c>
      <c r="K39" s="5">
        <v>13</v>
      </c>
      <c r="L39" s="4" t="s">
        <v>41</v>
      </c>
      <c r="M39" s="4" t="s">
        <v>16</v>
      </c>
      <c r="N39" s="5">
        <v>13</v>
      </c>
    </row>
    <row r="40" spans="1:14">
      <c r="A40" t="s">
        <v>108</v>
      </c>
      <c r="B40" s="4" t="s">
        <v>87</v>
      </c>
      <c r="C40" s="4">
        <f t="shared" si="0"/>
        <v>2026</v>
      </c>
      <c r="D40" s="4" t="str">
        <f t="shared" si="1"/>
        <v>August</v>
      </c>
      <c r="E40" s="4" t="str">
        <f t="shared" si="2"/>
        <v>Monday</v>
      </c>
      <c r="F40" s="4" t="s">
        <v>109</v>
      </c>
      <c r="G40" s="4">
        <f t="shared" si="3"/>
        <v>18</v>
      </c>
      <c r="H40" s="4" t="s">
        <v>35</v>
      </c>
      <c r="I40" s="4" t="s">
        <v>14</v>
      </c>
      <c r="J40" s="4">
        <v>1</v>
      </c>
      <c r="K40" s="5">
        <v>13</v>
      </c>
      <c r="L40" s="4" t="s">
        <v>41</v>
      </c>
      <c r="M40" s="4" t="s">
        <v>44</v>
      </c>
      <c r="N40" s="5">
        <v>13</v>
      </c>
    </row>
    <row r="41" spans="1:14">
      <c r="A41" t="s">
        <v>110</v>
      </c>
      <c r="B41" s="4" t="s">
        <v>111</v>
      </c>
      <c r="C41" s="4">
        <f t="shared" si="0"/>
        <v>2026</v>
      </c>
      <c r="D41" s="4" t="str">
        <f t="shared" si="1"/>
        <v>August</v>
      </c>
      <c r="E41" s="4" t="str">
        <f t="shared" si="2"/>
        <v>Tuesday</v>
      </c>
      <c r="F41" s="4" t="s">
        <v>112</v>
      </c>
      <c r="G41" s="4">
        <f t="shared" si="3"/>
        <v>9</v>
      </c>
      <c r="H41" s="4" t="s">
        <v>21</v>
      </c>
      <c r="I41" s="4" t="s">
        <v>14</v>
      </c>
      <c r="J41" s="4">
        <v>1</v>
      </c>
      <c r="K41" s="5">
        <v>12</v>
      </c>
      <c r="L41" s="4" t="s">
        <v>26</v>
      </c>
      <c r="M41" s="4" t="s">
        <v>44</v>
      </c>
      <c r="N41" s="5">
        <v>12</v>
      </c>
    </row>
    <row r="42" spans="1:14">
      <c r="A42" t="s">
        <v>113</v>
      </c>
      <c r="B42" s="4" t="s">
        <v>111</v>
      </c>
      <c r="C42" s="4">
        <f t="shared" si="0"/>
        <v>2026</v>
      </c>
      <c r="D42" s="4" t="str">
        <f t="shared" si="1"/>
        <v>August</v>
      </c>
      <c r="E42" s="4" t="str">
        <f t="shared" si="2"/>
        <v>Tuesday</v>
      </c>
      <c r="F42" s="4" t="s">
        <v>114</v>
      </c>
      <c r="G42" s="4">
        <f t="shared" si="3"/>
        <v>10</v>
      </c>
      <c r="H42" s="4" t="s">
        <v>115</v>
      </c>
      <c r="I42" s="4" t="s">
        <v>63</v>
      </c>
      <c r="J42" s="4">
        <v>3</v>
      </c>
      <c r="K42" s="5">
        <v>16</v>
      </c>
      <c r="L42" s="4" t="s">
        <v>41</v>
      </c>
      <c r="M42" s="4" t="s">
        <v>44</v>
      </c>
      <c r="N42" s="5">
        <v>48</v>
      </c>
    </row>
    <row r="43" spans="1:14">
      <c r="A43" t="s">
        <v>116</v>
      </c>
      <c r="B43" s="4" t="s">
        <v>111</v>
      </c>
      <c r="C43" s="4">
        <f t="shared" si="0"/>
        <v>2026</v>
      </c>
      <c r="D43" s="4" t="str">
        <f t="shared" si="1"/>
        <v>August</v>
      </c>
      <c r="E43" s="4" t="str">
        <f t="shared" si="2"/>
        <v>Tuesday</v>
      </c>
      <c r="F43" s="4" t="s">
        <v>117</v>
      </c>
      <c r="G43" s="4">
        <f t="shared" si="3"/>
        <v>11</v>
      </c>
      <c r="H43" s="4" t="s">
        <v>51</v>
      </c>
      <c r="I43" s="4" t="s">
        <v>14</v>
      </c>
      <c r="J43" s="4">
        <v>1</v>
      </c>
      <c r="K43" s="5">
        <v>7</v>
      </c>
      <c r="L43" s="4" t="s">
        <v>26</v>
      </c>
      <c r="M43" s="4" t="s">
        <v>44</v>
      </c>
      <c r="N43" s="5">
        <v>7</v>
      </c>
    </row>
    <row r="44" spans="1:14">
      <c r="A44" t="s">
        <v>118</v>
      </c>
      <c r="B44" s="4" t="s">
        <v>111</v>
      </c>
      <c r="C44" s="4">
        <f t="shared" si="0"/>
        <v>2026</v>
      </c>
      <c r="D44" s="4" t="str">
        <f t="shared" si="1"/>
        <v>August</v>
      </c>
      <c r="E44" s="4" t="str">
        <f t="shared" si="2"/>
        <v>Tuesday</v>
      </c>
      <c r="F44" s="4" t="s">
        <v>119</v>
      </c>
      <c r="G44" s="4">
        <f t="shared" si="3"/>
        <v>11</v>
      </c>
      <c r="H44" s="4" t="s">
        <v>105</v>
      </c>
      <c r="I44" s="4" t="s">
        <v>25</v>
      </c>
      <c r="J44" s="4">
        <v>1</v>
      </c>
      <c r="K44" s="5">
        <v>12</v>
      </c>
      <c r="L44" s="4" t="s">
        <v>26</v>
      </c>
      <c r="M44" s="4" t="s">
        <v>44</v>
      </c>
      <c r="N44" s="5">
        <v>12</v>
      </c>
    </row>
    <row r="45" spans="1:14">
      <c r="A45" t="s">
        <v>120</v>
      </c>
      <c r="B45" s="4" t="s">
        <v>111</v>
      </c>
      <c r="C45" s="4">
        <f t="shared" si="0"/>
        <v>2026</v>
      </c>
      <c r="D45" s="4" t="str">
        <f t="shared" si="1"/>
        <v>August</v>
      </c>
      <c r="E45" s="4" t="str">
        <f t="shared" si="2"/>
        <v>Tuesday</v>
      </c>
      <c r="F45" s="4" t="s">
        <v>121</v>
      </c>
      <c r="G45" s="4">
        <f t="shared" si="3"/>
        <v>12</v>
      </c>
      <c r="H45" s="4" t="s">
        <v>51</v>
      </c>
      <c r="I45" s="4" t="s">
        <v>14</v>
      </c>
      <c r="J45" s="4">
        <v>1</v>
      </c>
      <c r="K45" s="5">
        <v>7</v>
      </c>
      <c r="L45" s="4" t="s">
        <v>15</v>
      </c>
      <c r="M45" s="4" t="s">
        <v>44</v>
      </c>
      <c r="N45" s="5">
        <v>7</v>
      </c>
    </row>
    <row r="46" spans="1:14">
      <c r="A46" t="s">
        <v>122</v>
      </c>
      <c r="B46" s="4" t="s">
        <v>111</v>
      </c>
      <c r="C46" s="4">
        <f t="shared" si="0"/>
        <v>2026</v>
      </c>
      <c r="D46" s="4" t="str">
        <f t="shared" si="1"/>
        <v>August</v>
      </c>
      <c r="E46" s="4" t="str">
        <f t="shared" si="2"/>
        <v>Tuesday</v>
      </c>
      <c r="F46" s="4" t="s">
        <v>123</v>
      </c>
      <c r="G46" s="4">
        <f t="shared" si="3"/>
        <v>14</v>
      </c>
      <c r="H46" s="4" t="s">
        <v>29</v>
      </c>
      <c r="I46" s="4" t="s">
        <v>30</v>
      </c>
      <c r="J46" s="4">
        <v>1</v>
      </c>
      <c r="K46" s="5">
        <v>9</v>
      </c>
      <c r="L46" s="4" t="s">
        <v>26</v>
      </c>
      <c r="M46" s="4" t="s">
        <v>44</v>
      </c>
      <c r="N46" s="5">
        <v>9</v>
      </c>
    </row>
    <row r="47" spans="1:14">
      <c r="A47" t="s">
        <v>124</v>
      </c>
      <c r="B47" s="4" t="s">
        <v>111</v>
      </c>
      <c r="C47" s="4">
        <f t="shared" si="0"/>
        <v>2026</v>
      </c>
      <c r="D47" s="4" t="str">
        <f t="shared" si="1"/>
        <v>August</v>
      </c>
      <c r="E47" s="4" t="str">
        <f t="shared" si="2"/>
        <v>Tuesday</v>
      </c>
      <c r="F47" s="4" t="s">
        <v>125</v>
      </c>
      <c r="G47" s="4">
        <f t="shared" si="3"/>
        <v>15</v>
      </c>
      <c r="H47" s="4" t="s">
        <v>29</v>
      </c>
      <c r="I47" s="4" t="s">
        <v>30</v>
      </c>
      <c r="J47" s="4">
        <v>1</v>
      </c>
      <c r="K47" s="5">
        <v>9</v>
      </c>
      <c r="L47" s="4" t="s">
        <v>41</v>
      </c>
      <c r="M47" s="4" t="s">
        <v>44</v>
      </c>
      <c r="N47" s="5">
        <v>9</v>
      </c>
    </row>
    <row r="48" spans="1:14">
      <c r="A48" t="s">
        <v>126</v>
      </c>
      <c r="B48" s="4" t="s">
        <v>111</v>
      </c>
      <c r="C48" s="4">
        <f t="shared" si="0"/>
        <v>2026</v>
      </c>
      <c r="D48" s="4" t="str">
        <f t="shared" si="1"/>
        <v>August</v>
      </c>
      <c r="E48" s="4" t="str">
        <f t="shared" si="2"/>
        <v>Tuesday</v>
      </c>
      <c r="F48" s="4" t="s">
        <v>127</v>
      </c>
      <c r="G48" s="4">
        <f t="shared" si="3"/>
        <v>15</v>
      </c>
      <c r="H48" s="4" t="s">
        <v>38</v>
      </c>
      <c r="I48" s="4" t="s">
        <v>14</v>
      </c>
      <c r="J48" s="4">
        <v>1</v>
      </c>
      <c r="K48" s="5">
        <v>9</v>
      </c>
      <c r="L48" s="4" t="s">
        <v>41</v>
      </c>
      <c r="M48" s="4" t="s">
        <v>16</v>
      </c>
      <c r="N48" s="5">
        <v>9</v>
      </c>
    </row>
    <row r="49" spans="1:14">
      <c r="A49" t="s">
        <v>128</v>
      </c>
      <c r="B49" s="4" t="s">
        <v>111</v>
      </c>
      <c r="C49" s="4">
        <f t="shared" si="0"/>
        <v>2026</v>
      </c>
      <c r="D49" s="4" t="str">
        <f t="shared" si="1"/>
        <v>August</v>
      </c>
      <c r="E49" s="4" t="str">
        <f t="shared" si="2"/>
        <v>Tuesday</v>
      </c>
      <c r="F49" s="4" t="s">
        <v>129</v>
      </c>
      <c r="G49" s="4">
        <f t="shared" si="3"/>
        <v>16</v>
      </c>
      <c r="H49" s="4" t="s">
        <v>51</v>
      </c>
      <c r="I49" s="4" t="s">
        <v>14</v>
      </c>
      <c r="J49" s="4">
        <v>1</v>
      </c>
      <c r="K49" s="5">
        <v>7</v>
      </c>
      <c r="L49" s="4" t="s">
        <v>26</v>
      </c>
      <c r="M49" s="4" t="s">
        <v>16</v>
      </c>
      <c r="N49" s="5">
        <v>7</v>
      </c>
    </row>
    <row r="50" spans="1:14">
      <c r="A50" t="s">
        <v>130</v>
      </c>
      <c r="B50" s="4" t="s">
        <v>111</v>
      </c>
      <c r="C50" s="4">
        <f t="shared" si="0"/>
        <v>2026</v>
      </c>
      <c r="D50" s="4" t="str">
        <f t="shared" si="1"/>
        <v>August</v>
      </c>
      <c r="E50" s="4" t="str">
        <f t="shared" si="2"/>
        <v>Tuesday</v>
      </c>
      <c r="F50" s="4" t="s">
        <v>131</v>
      </c>
      <c r="G50" s="4">
        <f t="shared" si="3"/>
        <v>16</v>
      </c>
      <c r="H50" s="4" t="s">
        <v>105</v>
      </c>
      <c r="I50" s="4" t="s">
        <v>25</v>
      </c>
      <c r="J50" s="4">
        <v>2</v>
      </c>
      <c r="K50" s="5">
        <v>12</v>
      </c>
      <c r="L50" s="4" t="s">
        <v>26</v>
      </c>
      <c r="M50" s="4" t="s">
        <v>44</v>
      </c>
      <c r="N50" s="5">
        <v>24</v>
      </c>
    </row>
    <row r="51" spans="1:14">
      <c r="A51" t="s">
        <v>132</v>
      </c>
      <c r="B51" s="4" t="s">
        <v>111</v>
      </c>
      <c r="C51" s="4">
        <f t="shared" si="0"/>
        <v>2026</v>
      </c>
      <c r="D51" s="4" t="str">
        <f t="shared" si="1"/>
        <v>August</v>
      </c>
      <c r="E51" s="4" t="str">
        <f t="shared" si="2"/>
        <v>Tuesday</v>
      </c>
      <c r="F51" s="4" t="s">
        <v>133</v>
      </c>
      <c r="G51" s="4">
        <f t="shared" si="3"/>
        <v>18</v>
      </c>
      <c r="H51" s="4" t="s">
        <v>21</v>
      </c>
      <c r="I51" s="4" t="s">
        <v>14</v>
      </c>
      <c r="J51" s="4">
        <v>1</v>
      </c>
      <c r="K51" s="5">
        <v>12</v>
      </c>
      <c r="L51" s="4" t="s">
        <v>15</v>
      </c>
      <c r="M51" s="4" t="s">
        <v>16</v>
      </c>
      <c r="N51" s="5">
        <v>12</v>
      </c>
    </row>
    <row r="52" spans="1:14">
      <c r="A52" t="s">
        <v>134</v>
      </c>
      <c r="B52" s="4" t="s">
        <v>111</v>
      </c>
      <c r="C52" s="4">
        <f t="shared" si="0"/>
        <v>2026</v>
      </c>
      <c r="D52" s="4" t="str">
        <f t="shared" si="1"/>
        <v>August</v>
      </c>
      <c r="E52" s="4" t="str">
        <f t="shared" si="2"/>
        <v>Tuesday</v>
      </c>
      <c r="F52" s="4" t="s">
        <v>135</v>
      </c>
      <c r="G52" s="4">
        <f t="shared" si="3"/>
        <v>18</v>
      </c>
      <c r="H52" s="4" t="s">
        <v>51</v>
      </c>
      <c r="I52" s="4" t="s">
        <v>14</v>
      </c>
      <c r="J52" s="4">
        <v>1</v>
      </c>
      <c r="K52" s="5">
        <v>7</v>
      </c>
      <c r="L52" s="4" t="s">
        <v>15</v>
      </c>
      <c r="M52" s="4" t="s">
        <v>16</v>
      </c>
      <c r="N52" s="5">
        <v>7</v>
      </c>
    </row>
    <row r="53" spans="1:14">
      <c r="A53" t="s">
        <v>136</v>
      </c>
      <c r="B53" s="4" t="s">
        <v>111</v>
      </c>
      <c r="C53" s="4">
        <f t="shared" si="0"/>
        <v>2026</v>
      </c>
      <c r="D53" s="4" t="str">
        <f t="shared" si="1"/>
        <v>August</v>
      </c>
      <c r="E53" s="4" t="str">
        <f t="shared" si="2"/>
        <v>Tuesday</v>
      </c>
      <c r="F53" s="4" t="s">
        <v>137</v>
      </c>
      <c r="G53" s="4">
        <f t="shared" si="3"/>
        <v>19</v>
      </c>
      <c r="H53" s="4" t="s">
        <v>21</v>
      </c>
      <c r="I53" s="4" t="s">
        <v>14</v>
      </c>
      <c r="J53" s="4">
        <v>1</v>
      </c>
      <c r="K53" s="5">
        <v>12</v>
      </c>
      <c r="L53" s="4" t="s">
        <v>41</v>
      </c>
      <c r="M53" s="4" t="s">
        <v>44</v>
      </c>
      <c r="N53" s="5">
        <v>12</v>
      </c>
    </row>
    <row r="54" spans="1:14">
      <c r="A54" t="s">
        <v>138</v>
      </c>
      <c r="B54" s="4" t="s">
        <v>111</v>
      </c>
      <c r="C54" s="4">
        <f t="shared" si="0"/>
        <v>2026</v>
      </c>
      <c r="D54" s="4" t="str">
        <f t="shared" si="1"/>
        <v>August</v>
      </c>
      <c r="E54" s="4" t="str">
        <f t="shared" si="2"/>
        <v>Tuesday</v>
      </c>
      <c r="F54" s="4" t="s">
        <v>139</v>
      </c>
      <c r="G54" s="4">
        <f t="shared" si="3"/>
        <v>19</v>
      </c>
      <c r="H54" s="4" t="s">
        <v>13</v>
      </c>
      <c r="I54" s="4" t="s">
        <v>14</v>
      </c>
      <c r="J54" s="4">
        <v>1</v>
      </c>
      <c r="K54" s="5">
        <v>15</v>
      </c>
      <c r="L54" s="4" t="s">
        <v>15</v>
      </c>
      <c r="M54" s="4" t="s">
        <v>16</v>
      </c>
      <c r="N54" s="5">
        <v>15</v>
      </c>
    </row>
    <row r="55" spans="1:14">
      <c r="A55" t="s">
        <v>140</v>
      </c>
      <c r="B55" s="4" t="s">
        <v>141</v>
      </c>
      <c r="C55" s="4">
        <f t="shared" si="0"/>
        <v>2026</v>
      </c>
      <c r="D55" s="4" t="str">
        <f t="shared" si="1"/>
        <v>August</v>
      </c>
      <c r="E55" s="4" t="str">
        <f t="shared" si="2"/>
        <v>Wednesday</v>
      </c>
      <c r="F55" s="4" t="s">
        <v>142</v>
      </c>
      <c r="G55" s="4">
        <f t="shared" si="3"/>
        <v>8</v>
      </c>
      <c r="H55" s="4" t="s">
        <v>13</v>
      </c>
      <c r="I55" s="4" t="s">
        <v>14</v>
      </c>
      <c r="J55" s="4">
        <v>2</v>
      </c>
      <c r="K55" s="5">
        <v>15</v>
      </c>
      <c r="L55" s="4" t="s">
        <v>26</v>
      </c>
      <c r="M55" s="4" t="s">
        <v>16</v>
      </c>
      <c r="N55" s="5">
        <v>30</v>
      </c>
    </row>
    <row r="56" spans="1:14">
      <c r="A56" t="s">
        <v>143</v>
      </c>
      <c r="B56" s="4" t="s">
        <v>141</v>
      </c>
      <c r="C56" s="4">
        <f t="shared" si="0"/>
        <v>2026</v>
      </c>
      <c r="D56" s="4" t="str">
        <f t="shared" si="1"/>
        <v>August</v>
      </c>
      <c r="E56" s="4" t="str">
        <f t="shared" si="2"/>
        <v>Wednesday</v>
      </c>
      <c r="F56" s="4" t="s">
        <v>144</v>
      </c>
      <c r="G56" s="4">
        <f t="shared" si="3"/>
        <v>10</v>
      </c>
      <c r="H56" s="4" t="s">
        <v>35</v>
      </c>
      <c r="I56" s="4" t="s">
        <v>14</v>
      </c>
      <c r="J56" s="4">
        <v>2</v>
      </c>
      <c r="K56" s="5">
        <v>13</v>
      </c>
      <c r="L56" s="4" t="s">
        <v>15</v>
      </c>
      <c r="M56" s="4" t="s">
        <v>16</v>
      </c>
      <c r="N56" s="5">
        <v>26</v>
      </c>
    </row>
    <row r="57" spans="1:14">
      <c r="A57" t="s">
        <v>145</v>
      </c>
      <c r="B57" s="4" t="s">
        <v>141</v>
      </c>
      <c r="C57" s="4">
        <f t="shared" si="0"/>
        <v>2026</v>
      </c>
      <c r="D57" s="4" t="str">
        <f t="shared" si="1"/>
        <v>August</v>
      </c>
      <c r="E57" s="4" t="str">
        <f t="shared" si="2"/>
        <v>Wednesday</v>
      </c>
      <c r="F57" s="4" t="s">
        <v>146</v>
      </c>
      <c r="G57" s="4">
        <f t="shared" si="3"/>
        <v>11</v>
      </c>
      <c r="H57" s="4" t="s">
        <v>35</v>
      </c>
      <c r="I57" s="4" t="s">
        <v>30</v>
      </c>
      <c r="J57" s="4">
        <v>1</v>
      </c>
      <c r="K57" s="5">
        <v>8</v>
      </c>
      <c r="L57" s="4" t="s">
        <v>26</v>
      </c>
      <c r="M57" s="4" t="s">
        <v>44</v>
      </c>
      <c r="N57" s="5">
        <v>8</v>
      </c>
    </row>
    <row r="58" spans="1:14">
      <c r="A58" t="s">
        <v>148</v>
      </c>
      <c r="B58" s="4" t="s">
        <v>141</v>
      </c>
      <c r="C58" s="4">
        <f t="shared" si="0"/>
        <v>2026</v>
      </c>
      <c r="D58" s="4" t="str">
        <f t="shared" si="1"/>
        <v>August</v>
      </c>
      <c r="E58" s="4" t="str">
        <f t="shared" si="2"/>
        <v>Wednesday</v>
      </c>
      <c r="F58" s="4" t="s">
        <v>149</v>
      </c>
      <c r="G58" s="4">
        <f t="shared" si="3"/>
        <v>11</v>
      </c>
      <c r="H58" s="4" t="s">
        <v>29</v>
      </c>
      <c r="I58" s="4" t="s">
        <v>30</v>
      </c>
      <c r="J58" s="4">
        <v>1</v>
      </c>
      <c r="K58" s="5">
        <v>9</v>
      </c>
      <c r="L58" s="4" t="s">
        <v>26</v>
      </c>
      <c r="M58" s="4" t="s">
        <v>16</v>
      </c>
      <c r="N58" s="5">
        <v>9</v>
      </c>
    </row>
    <row r="59" spans="1:14">
      <c r="A59" t="s">
        <v>150</v>
      </c>
      <c r="B59" s="4" t="s">
        <v>141</v>
      </c>
      <c r="C59" s="4">
        <f t="shared" si="0"/>
        <v>2026</v>
      </c>
      <c r="D59" s="4" t="str">
        <f t="shared" si="1"/>
        <v>August</v>
      </c>
      <c r="E59" s="4" t="str">
        <f t="shared" si="2"/>
        <v>Wednesday</v>
      </c>
      <c r="F59" s="4" t="s">
        <v>151</v>
      </c>
      <c r="G59" s="4">
        <f t="shared" si="3"/>
        <v>13</v>
      </c>
      <c r="H59" s="4" t="s">
        <v>24</v>
      </c>
      <c r="I59" s="4" t="s">
        <v>25</v>
      </c>
      <c r="J59" s="4">
        <v>2</v>
      </c>
      <c r="K59" s="5">
        <v>14</v>
      </c>
      <c r="L59" s="4" t="s">
        <v>26</v>
      </c>
      <c r="M59" s="4" t="s">
        <v>16</v>
      </c>
      <c r="N59" s="5">
        <v>28</v>
      </c>
    </row>
    <row r="60" spans="1:14">
      <c r="A60" t="s">
        <v>152</v>
      </c>
      <c r="B60" s="4" t="s">
        <v>141</v>
      </c>
      <c r="C60" s="4">
        <f t="shared" si="0"/>
        <v>2026</v>
      </c>
      <c r="D60" s="4" t="str">
        <f t="shared" si="1"/>
        <v>August</v>
      </c>
      <c r="E60" s="4" t="str">
        <f t="shared" si="2"/>
        <v>Wednesday</v>
      </c>
      <c r="F60" s="4" t="s">
        <v>153</v>
      </c>
      <c r="G60" s="4">
        <f t="shared" si="3"/>
        <v>13</v>
      </c>
      <c r="H60" s="4" t="s">
        <v>38</v>
      </c>
      <c r="I60" s="4" t="s">
        <v>14</v>
      </c>
      <c r="J60" s="4">
        <v>1</v>
      </c>
      <c r="K60" s="5">
        <v>9</v>
      </c>
      <c r="L60" s="4" t="s">
        <v>15</v>
      </c>
      <c r="M60" s="4" t="s">
        <v>16</v>
      </c>
      <c r="N60" s="5">
        <v>9</v>
      </c>
    </row>
    <row r="61" spans="1:14">
      <c r="A61" t="s">
        <v>154</v>
      </c>
      <c r="B61" s="4" t="s">
        <v>141</v>
      </c>
      <c r="C61" s="4">
        <f t="shared" si="0"/>
        <v>2026</v>
      </c>
      <c r="D61" s="4" t="str">
        <f t="shared" si="1"/>
        <v>August</v>
      </c>
      <c r="E61" s="4" t="str">
        <f t="shared" si="2"/>
        <v>Wednesday</v>
      </c>
      <c r="F61" s="4" t="s">
        <v>155</v>
      </c>
      <c r="G61" s="4">
        <f t="shared" si="3"/>
        <v>14</v>
      </c>
      <c r="H61" s="4" t="s">
        <v>72</v>
      </c>
      <c r="I61" s="4" t="s">
        <v>14</v>
      </c>
      <c r="J61" s="4">
        <v>2</v>
      </c>
      <c r="K61" s="5">
        <v>14</v>
      </c>
      <c r="L61" s="4" t="s">
        <v>15</v>
      </c>
      <c r="M61" s="4" t="s">
        <v>16</v>
      </c>
      <c r="N61" s="5">
        <v>28</v>
      </c>
    </row>
    <row r="62" spans="1:14">
      <c r="A62" t="s">
        <v>156</v>
      </c>
      <c r="B62" s="4" t="s">
        <v>141</v>
      </c>
      <c r="C62" s="4">
        <f t="shared" si="0"/>
        <v>2026</v>
      </c>
      <c r="D62" s="4" t="str">
        <f t="shared" si="1"/>
        <v>August</v>
      </c>
      <c r="E62" s="4" t="str">
        <f t="shared" si="2"/>
        <v>Wednesday</v>
      </c>
      <c r="F62" s="4" t="s">
        <v>157</v>
      </c>
      <c r="G62" s="4">
        <f t="shared" si="3"/>
        <v>14</v>
      </c>
      <c r="H62" s="4" t="s">
        <v>72</v>
      </c>
      <c r="I62" s="4" t="s">
        <v>14</v>
      </c>
      <c r="J62" s="4">
        <v>1</v>
      </c>
      <c r="K62" s="5">
        <v>14</v>
      </c>
      <c r="L62" s="4" t="s">
        <v>26</v>
      </c>
      <c r="M62" s="4" t="s">
        <v>16</v>
      </c>
      <c r="N62" s="5">
        <v>14</v>
      </c>
    </row>
    <row r="63" spans="1:14">
      <c r="A63" t="s">
        <v>158</v>
      </c>
      <c r="B63" s="4" t="s">
        <v>141</v>
      </c>
      <c r="C63" s="4">
        <f t="shared" si="0"/>
        <v>2026</v>
      </c>
      <c r="D63" s="4" t="str">
        <f t="shared" si="1"/>
        <v>August</v>
      </c>
      <c r="E63" s="4" t="str">
        <f t="shared" si="2"/>
        <v>Wednesday</v>
      </c>
      <c r="F63" s="4" t="s">
        <v>159</v>
      </c>
      <c r="G63" s="4">
        <f t="shared" si="3"/>
        <v>14</v>
      </c>
      <c r="H63" s="4" t="s">
        <v>62</v>
      </c>
      <c r="I63" s="4" t="s">
        <v>63</v>
      </c>
      <c r="J63" s="4">
        <v>1</v>
      </c>
      <c r="K63" s="5">
        <v>10</v>
      </c>
      <c r="L63" s="4" t="s">
        <v>15</v>
      </c>
      <c r="M63" s="4" t="s">
        <v>16</v>
      </c>
      <c r="N63" s="5">
        <v>10</v>
      </c>
    </row>
    <row r="64" spans="1:14">
      <c r="A64" t="s">
        <v>160</v>
      </c>
      <c r="B64" s="4" t="s">
        <v>141</v>
      </c>
      <c r="C64" s="4">
        <f t="shared" si="0"/>
        <v>2026</v>
      </c>
      <c r="D64" s="4" t="str">
        <f t="shared" si="1"/>
        <v>August</v>
      </c>
      <c r="E64" s="4" t="str">
        <f t="shared" si="2"/>
        <v>Wednesday</v>
      </c>
      <c r="F64" s="4" t="s">
        <v>161</v>
      </c>
      <c r="G64" s="4">
        <f t="shared" si="3"/>
        <v>16</v>
      </c>
      <c r="H64" s="4" t="s">
        <v>21</v>
      </c>
      <c r="I64" s="4" t="s">
        <v>14</v>
      </c>
      <c r="J64" s="4">
        <v>1</v>
      </c>
      <c r="K64" s="5">
        <v>12</v>
      </c>
      <c r="L64" s="4" t="s">
        <v>26</v>
      </c>
      <c r="M64" s="4" t="s">
        <v>16</v>
      </c>
      <c r="N64" s="5">
        <v>12</v>
      </c>
    </row>
    <row r="65" spans="1:14">
      <c r="A65" t="s">
        <v>162</v>
      </c>
      <c r="B65" s="4" t="s">
        <v>141</v>
      </c>
      <c r="C65" s="4">
        <f t="shared" si="0"/>
        <v>2026</v>
      </c>
      <c r="D65" s="4" t="str">
        <f t="shared" si="1"/>
        <v>August</v>
      </c>
      <c r="E65" s="4" t="str">
        <f t="shared" si="2"/>
        <v>Wednesday</v>
      </c>
      <c r="F65" s="4" t="s">
        <v>163</v>
      </c>
      <c r="G65" s="4">
        <f t="shared" si="3"/>
        <v>16</v>
      </c>
      <c r="H65" s="4" t="s">
        <v>21</v>
      </c>
      <c r="I65" s="4" t="s">
        <v>14</v>
      </c>
      <c r="J65" s="4">
        <v>1</v>
      </c>
      <c r="K65" s="5">
        <v>12</v>
      </c>
      <c r="L65" s="4" t="s">
        <v>26</v>
      </c>
      <c r="M65" s="4" t="s">
        <v>44</v>
      </c>
      <c r="N65" s="5">
        <v>12</v>
      </c>
    </row>
    <row r="66" spans="1:14">
      <c r="A66" t="s">
        <v>164</v>
      </c>
      <c r="B66" s="4" t="s">
        <v>141</v>
      </c>
      <c r="C66" s="4">
        <f t="shared" si="0"/>
        <v>2026</v>
      </c>
      <c r="D66" s="4" t="str">
        <f t="shared" si="1"/>
        <v>August</v>
      </c>
      <c r="E66" s="4" t="str">
        <f t="shared" si="2"/>
        <v>Wednesday</v>
      </c>
      <c r="F66" s="4" t="s">
        <v>165</v>
      </c>
      <c r="G66" s="4">
        <f t="shared" si="3"/>
        <v>17</v>
      </c>
      <c r="H66" s="4" t="s">
        <v>51</v>
      </c>
      <c r="I66" s="4" t="s">
        <v>14</v>
      </c>
      <c r="J66" s="4">
        <v>1</v>
      </c>
      <c r="K66" s="5">
        <v>7</v>
      </c>
      <c r="L66" s="4" t="s">
        <v>15</v>
      </c>
      <c r="M66" s="4" t="s">
        <v>44</v>
      </c>
      <c r="N66" s="5">
        <v>7</v>
      </c>
    </row>
    <row r="67" spans="1:14">
      <c r="A67" t="s">
        <v>166</v>
      </c>
      <c r="B67" s="4" t="s">
        <v>167</v>
      </c>
      <c r="C67" s="4">
        <f t="shared" ref="C67:C130" si="4">YEAR(B67)</f>
        <v>2026</v>
      </c>
      <c r="D67" s="4" t="str">
        <f t="shared" ref="D67:D130" si="5">TEXT(B67,"mmmm")</f>
        <v>August</v>
      </c>
      <c r="E67" s="4" t="str">
        <f t="shared" ref="E67:E130" si="6">TEXT(B67,"dddd")</f>
        <v>Thursday</v>
      </c>
      <c r="F67" s="4" t="s">
        <v>168</v>
      </c>
      <c r="G67" s="4">
        <f t="shared" ref="G67:G130" si="7">HOUR(F67)</f>
        <v>8</v>
      </c>
      <c r="H67" s="4" t="s">
        <v>35</v>
      </c>
      <c r="I67" s="4" t="s">
        <v>14</v>
      </c>
      <c r="J67" s="4">
        <v>1</v>
      </c>
      <c r="K67" s="5">
        <v>13</v>
      </c>
      <c r="L67" s="4" t="s">
        <v>26</v>
      </c>
      <c r="M67" s="4" t="s">
        <v>16</v>
      </c>
      <c r="N67" s="5">
        <v>13</v>
      </c>
    </row>
    <row r="68" spans="1:14">
      <c r="A68" t="s">
        <v>169</v>
      </c>
      <c r="B68" s="4" t="s">
        <v>167</v>
      </c>
      <c r="C68" s="4">
        <f t="shared" si="4"/>
        <v>2026</v>
      </c>
      <c r="D68" s="4" t="str">
        <f t="shared" si="5"/>
        <v>August</v>
      </c>
      <c r="E68" s="4" t="str">
        <f t="shared" si="6"/>
        <v>Thursday</v>
      </c>
      <c r="F68" s="4" t="s">
        <v>170</v>
      </c>
      <c r="G68" s="4">
        <f t="shared" si="7"/>
        <v>8</v>
      </c>
      <c r="H68" s="4" t="s">
        <v>35</v>
      </c>
      <c r="I68" s="4" t="s">
        <v>14</v>
      </c>
      <c r="J68" s="4">
        <v>1</v>
      </c>
      <c r="K68" s="5">
        <v>13</v>
      </c>
      <c r="L68" s="4" t="s">
        <v>15</v>
      </c>
      <c r="M68" s="4" t="s">
        <v>16</v>
      </c>
      <c r="N68" s="5">
        <v>13</v>
      </c>
    </row>
    <row r="69" spans="1:14">
      <c r="A69" t="s">
        <v>171</v>
      </c>
      <c r="B69" s="4" t="s">
        <v>167</v>
      </c>
      <c r="C69" s="4">
        <f t="shared" si="4"/>
        <v>2026</v>
      </c>
      <c r="D69" s="4" t="str">
        <f t="shared" si="5"/>
        <v>August</v>
      </c>
      <c r="E69" s="4" t="str">
        <f t="shared" si="6"/>
        <v>Thursday</v>
      </c>
      <c r="F69" s="4" t="s">
        <v>172</v>
      </c>
      <c r="G69" s="4">
        <f t="shared" si="7"/>
        <v>9</v>
      </c>
      <c r="H69" s="4" t="s">
        <v>35</v>
      </c>
      <c r="I69" s="4" t="s">
        <v>14</v>
      </c>
      <c r="J69" s="4">
        <v>1</v>
      </c>
      <c r="K69" s="5">
        <v>13</v>
      </c>
      <c r="L69" s="4" t="s">
        <v>15</v>
      </c>
      <c r="M69" s="4" t="s">
        <v>16</v>
      </c>
      <c r="N69" s="5">
        <v>13</v>
      </c>
    </row>
    <row r="70" spans="1:14">
      <c r="A70" t="s">
        <v>173</v>
      </c>
      <c r="B70" s="4" t="s">
        <v>167</v>
      </c>
      <c r="C70" s="4">
        <f t="shared" si="4"/>
        <v>2026</v>
      </c>
      <c r="D70" s="4" t="str">
        <f t="shared" si="5"/>
        <v>August</v>
      </c>
      <c r="E70" s="4" t="str">
        <f t="shared" si="6"/>
        <v>Thursday</v>
      </c>
      <c r="F70" s="4" t="s">
        <v>174</v>
      </c>
      <c r="G70" s="4">
        <f t="shared" si="7"/>
        <v>10</v>
      </c>
      <c r="H70" s="4" t="s">
        <v>72</v>
      </c>
      <c r="I70" s="4" t="s">
        <v>14</v>
      </c>
      <c r="J70" s="4">
        <v>2</v>
      </c>
      <c r="K70" s="5">
        <v>14</v>
      </c>
      <c r="L70" s="4" t="s">
        <v>26</v>
      </c>
      <c r="M70" s="4" t="s">
        <v>16</v>
      </c>
      <c r="N70" s="5">
        <v>28</v>
      </c>
    </row>
    <row r="71" spans="1:14">
      <c r="A71" t="s">
        <v>175</v>
      </c>
      <c r="B71" s="4" t="s">
        <v>167</v>
      </c>
      <c r="C71" s="4">
        <f t="shared" si="4"/>
        <v>2026</v>
      </c>
      <c r="D71" s="4" t="str">
        <f t="shared" si="5"/>
        <v>August</v>
      </c>
      <c r="E71" s="4" t="str">
        <f t="shared" si="6"/>
        <v>Thursday</v>
      </c>
      <c r="F71" s="4" t="s">
        <v>176</v>
      </c>
      <c r="G71" s="4">
        <f t="shared" si="7"/>
        <v>11</v>
      </c>
      <c r="H71" s="4" t="s">
        <v>115</v>
      </c>
      <c r="I71" s="4" t="s">
        <v>63</v>
      </c>
      <c r="J71" s="4">
        <v>1</v>
      </c>
      <c r="K71" s="5">
        <v>16</v>
      </c>
      <c r="L71" s="4" t="s">
        <v>41</v>
      </c>
      <c r="M71" s="4" t="s">
        <v>16</v>
      </c>
      <c r="N71" s="5">
        <v>16</v>
      </c>
    </row>
    <row r="72" spans="1:14">
      <c r="A72" t="s">
        <v>177</v>
      </c>
      <c r="B72" s="4" t="s">
        <v>167</v>
      </c>
      <c r="C72" s="4">
        <f t="shared" si="4"/>
        <v>2026</v>
      </c>
      <c r="D72" s="4" t="str">
        <f t="shared" si="5"/>
        <v>August</v>
      </c>
      <c r="E72" s="4" t="str">
        <f t="shared" si="6"/>
        <v>Thursday</v>
      </c>
      <c r="F72" s="4" t="s">
        <v>178</v>
      </c>
      <c r="G72" s="4">
        <f t="shared" si="7"/>
        <v>12</v>
      </c>
      <c r="H72" s="4" t="s">
        <v>21</v>
      </c>
      <c r="I72" s="4" t="s">
        <v>14</v>
      </c>
      <c r="J72" s="4">
        <v>3</v>
      </c>
      <c r="K72" s="5">
        <v>12</v>
      </c>
      <c r="L72" s="4" t="s">
        <v>26</v>
      </c>
      <c r="M72" s="4" t="s">
        <v>16</v>
      </c>
      <c r="N72" s="5">
        <v>36</v>
      </c>
    </row>
    <row r="73" spans="1:14">
      <c r="A73" t="s">
        <v>179</v>
      </c>
      <c r="B73" s="4" t="s">
        <v>167</v>
      </c>
      <c r="C73" s="4">
        <f t="shared" si="4"/>
        <v>2026</v>
      </c>
      <c r="D73" s="4" t="str">
        <f t="shared" si="5"/>
        <v>August</v>
      </c>
      <c r="E73" s="4" t="str">
        <f t="shared" si="6"/>
        <v>Thursday</v>
      </c>
      <c r="F73" s="4" t="s">
        <v>180</v>
      </c>
      <c r="G73" s="4">
        <f t="shared" si="7"/>
        <v>13</v>
      </c>
      <c r="H73" s="4" t="s">
        <v>21</v>
      </c>
      <c r="I73" s="4" t="s">
        <v>14</v>
      </c>
      <c r="J73" s="4">
        <v>1</v>
      </c>
      <c r="K73" s="5">
        <v>12</v>
      </c>
      <c r="L73" s="4" t="s">
        <v>15</v>
      </c>
      <c r="M73" s="4" t="s">
        <v>16</v>
      </c>
      <c r="N73" s="5">
        <v>12</v>
      </c>
    </row>
    <row r="74" spans="1:14">
      <c r="A74" t="s">
        <v>181</v>
      </c>
      <c r="B74" s="4" t="s">
        <v>167</v>
      </c>
      <c r="C74" s="4">
        <f t="shared" si="4"/>
        <v>2026</v>
      </c>
      <c r="D74" s="4" t="str">
        <f t="shared" si="5"/>
        <v>August</v>
      </c>
      <c r="E74" s="4" t="str">
        <f t="shared" si="6"/>
        <v>Thursday</v>
      </c>
      <c r="F74" s="4" t="s">
        <v>182</v>
      </c>
      <c r="G74" s="4">
        <f t="shared" si="7"/>
        <v>13</v>
      </c>
      <c r="H74" s="4" t="s">
        <v>21</v>
      </c>
      <c r="I74" s="4" t="s">
        <v>14</v>
      </c>
      <c r="J74" s="4">
        <v>1</v>
      </c>
      <c r="K74" s="5">
        <v>12</v>
      </c>
      <c r="L74" s="4" t="s">
        <v>15</v>
      </c>
      <c r="M74" s="4" t="s">
        <v>16</v>
      </c>
      <c r="N74" s="5">
        <v>12</v>
      </c>
    </row>
    <row r="75" spans="1:14">
      <c r="A75" t="s">
        <v>183</v>
      </c>
      <c r="B75" s="4" t="s">
        <v>167</v>
      </c>
      <c r="C75" s="4">
        <f t="shared" si="4"/>
        <v>2026</v>
      </c>
      <c r="D75" s="4" t="str">
        <f t="shared" si="5"/>
        <v>August</v>
      </c>
      <c r="E75" s="4" t="str">
        <f t="shared" si="6"/>
        <v>Thursday</v>
      </c>
      <c r="F75" s="4" t="s">
        <v>125</v>
      </c>
      <c r="G75" s="4">
        <f t="shared" si="7"/>
        <v>15</v>
      </c>
      <c r="H75" s="4" t="s">
        <v>72</v>
      </c>
      <c r="I75" s="4" t="s">
        <v>14</v>
      </c>
      <c r="J75" s="4">
        <v>1</v>
      </c>
      <c r="K75" s="5">
        <v>14</v>
      </c>
      <c r="L75" s="4" t="s">
        <v>41</v>
      </c>
      <c r="M75" s="4" t="s">
        <v>44</v>
      </c>
      <c r="N75" s="5">
        <v>14</v>
      </c>
    </row>
    <row r="76" spans="1:14">
      <c r="A76" t="s">
        <v>184</v>
      </c>
      <c r="B76" s="4" t="s">
        <v>167</v>
      </c>
      <c r="C76" s="4">
        <f t="shared" si="4"/>
        <v>2026</v>
      </c>
      <c r="D76" s="4" t="str">
        <f t="shared" si="5"/>
        <v>August</v>
      </c>
      <c r="E76" s="4" t="str">
        <f t="shared" si="6"/>
        <v>Thursday</v>
      </c>
      <c r="F76" s="4" t="s">
        <v>185</v>
      </c>
      <c r="G76" s="4">
        <f t="shared" si="7"/>
        <v>15</v>
      </c>
      <c r="H76" s="4" t="s">
        <v>21</v>
      </c>
      <c r="I76" s="4" t="s">
        <v>14</v>
      </c>
      <c r="J76" s="4">
        <v>1</v>
      </c>
      <c r="K76" s="5">
        <v>12</v>
      </c>
      <c r="L76" s="4" t="s">
        <v>41</v>
      </c>
      <c r="M76" s="4" t="s">
        <v>44</v>
      </c>
      <c r="N76" s="5">
        <v>12</v>
      </c>
    </row>
    <row r="77" spans="1:14">
      <c r="A77" t="s">
        <v>186</v>
      </c>
      <c r="B77" s="4" t="s">
        <v>167</v>
      </c>
      <c r="C77" s="4">
        <f t="shared" si="4"/>
        <v>2026</v>
      </c>
      <c r="D77" s="4" t="str">
        <f t="shared" si="5"/>
        <v>August</v>
      </c>
      <c r="E77" s="4" t="str">
        <f t="shared" si="6"/>
        <v>Thursday</v>
      </c>
      <c r="F77" s="4" t="s">
        <v>74</v>
      </c>
      <c r="G77" s="4">
        <f t="shared" si="7"/>
        <v>15</v>
      </c>
      <c r="H77" s="4" t="s">
        <v>51</v>
      </c>
      <c r="I77" s="4" t="s">
        <v>14</v>
      </c>
      <c r="J77" s="4">
        <v>3</v>
      </c>
      <c r="K77" s="5">
        <v>7</v>
      </c>
      <c r="L77" s="4" t="s">
        <v>26</v>
      </c>
      <c r="M77" s="4" t="s">
        <v>44</v>
      </c>
      <c r="N77" s="5">
        <v>21</v>
      </c>
    </row>
    <row r="78" spans="1:14">
      <c r="A78" t="s">
        <v>187</v>
      </c>
      <c r="B78" s="4" t="s">
        <v>167</v>
      </c>
      <c r="C78" s="4">
        <f t="shared" si="4"/>
        <v>2026</v>
      </c>
      <c r="D78" s="4" t="str">
        <f t="shared" si="5"/>
        <v>August</v>
      </c>
      <c r="E78" s="4" t="str">
        <f t="shared" si="6"/>
        <v>Thursday</v>
      </c>
      <c r="F78" s="4" t="s">
        <v>188</v>
      </c>
      <c r="G78" s="4">
        <f t="shared" si="7"/>
        <v>15</v>
      </c>
      <c r="H78" s="4" t="s">
        <v>29</v>
      </c>
      <c r="I78" s="4" t="s">
        <v>30</v>
      </c>
      <c r="J78" s="4">
        <v>1</v>
      </c>
      <c r="K78" s="5">
        <v>9</v>
      </c>
      <c r="L78" s="4" t="s">
        <v>41</v>
      </c>
      <c r="M78" s="4" t="s">
        <v>44</v>
      </c>
      <c r="N78" s="5">
        <v>9</v>
      </c>
    </row>
    <row r="79" spans="1:14">
      <c r="A79" t="s">
        <v>189</v>
      </c>
      <c r="B79" s="4" t="s">
        <v>167</v>
      </c>
      <c r="C79" s="4">
        <f t="shared" si="4"/>
        <v>2026</v>
      </c>
      <c r="D79" s="4" t="str">
        <f t="shared" si="5"/>
        <v>August</v>
      </c>
      <c r="E79" s="4" t="str">
        <f t="shared" si="6"/>
        <v>Thursday</v>
      </c>
      <c r="F79" s="4" t="s">
        <v>190</v>
      </c>
      <c r="G79" s="4">
        <f t="shared" si="7"/>
        <v>16</v>
      </c>
      <c r="H79" s="4" t="s">
        <v>38</v>
      </c>
      <c r="I79" s="4" t="s">
        <v>14</v>
      </c>
      <c r="J79" s="4">
        <v>1</v>
      </c>
      <c r="K79" s="5">
        <v>9</v>
      </c>
      <c r="L79" s="4" t="s">
        <v>15</v>
      </c>
      <c r="M79" s="4" t="s">
        <v>44</v>
      </c>
      <c r="N79" s="5">
        <v>9</v>
      </c>
    </row>
    <row r="80" spans="1:14">
      <c r="A80" t="s">
        <v>191</v>
      </c>
      <c r="B80" s="4" t="s">
        <v>167</v>
      </c>
      <c r="C80" s="4">
        <f t="shared" si="4"/>
        <v>2026</v>
      </c>
      <c r="D80" s="4" t="str">
        <f t="shared" si="5"/>
        <v>August</v>
      </c>
      <c r="E80" s="4" t="str">
        <f t="shared" si="6"/>
        <v>Thursday</v>
      </c>
      <c r="F80" s="4" t="s">
        <v>192</v>
      </c>
      <c r="G80" s="4">
        <f t="shared" si="7"/>
        <v>17</v>
      </c>
      <c r="H80" s="4" t="s">
        <v>29</v>
      </c>
      <c r="I80" s="4" t="s">
        <v>30</v>
      </c>
      <c r="J80" s="4">
        <v>1</v>
      </c>
      <c r="K80" s="5">
        <v>9</v>
      </c>
      <c r="L80" s="4" t="s">
        <v>26</v>
      </c>
      <c r="M80" s="4" t="s">
        <v>16</v>
      </c>
      <c r="N80" s="5">
        <v>9</v>
      </c>
    </row>
    <row r="81" spans="1:14">
      <c r="A81" t="s">
        <v>193</v>
      </c>
      <c r="B81" s="4" t="s">
        <v>167</v>
      </c>
      <c r="C81" s="4">
        <f t="shared" si="4"/>
        <v>2026</v>
      </c>
      <c r="D81" s="4" t="str">
        <f t="shared" si="5"/>
        <v>August</v>
      </c>
      <c r="E81" s="4" t="str">
        <f t="shared" si="6"/>
        <v>Thursday</v>
      </c>
      <c r="F81" s="4" t="s">
        <v>194</v>
      </c>
      <c r="G81" s="4">
        <f t="shared" si="7"/>
        <v>17</v>
      </c>
      <c r="H81" s="4" t="s">
        <v>21</v>
      </c>
      <c r="I81" s="4" t="s">
        <v>14</v>
      </c>
      <c r="J81" s="4">
        <v>1</v>
      </c>
      <c r="K81" s="5">
        <v>12</v>
      </c>
      <c r="L81" s="4" t="s">
        <v>15</v>
      </c>
      <c r="M81" s="4" t="s">
        <v>44</v>
      </c>
      <c r="N81" s="5">
        <v>12</v>
      </c>
    </row>
    <row r="82" spans="1:14">
      <c r="A82" t="s">
        <v>195</v>
      </c>
      <c r="B82" s="4" t="s">
        <v>196</v>
      </c>
      <c r="C82" s="4">
        <f t="shared" si="4"/>
        <v>2026</v>
      </c>
      <c r="D82" s="4" t="str">
        <f t="shared" si="5"/>
        <v>August</v>
      </c>
      <c r="E82" s="4" t="str">
        <f t="shared" si="6"/>
        <v>Friday</v>
      </c>
      <c r="F82" s="4" t="s">
        <v>197</v>
      </c>
      <c r="G82" s="4">
        <f t="shared" si="7"/>
        <v>8</v>
      </c>
      <c r="H82" s="4" t="s">
        <v>21</v>
      </c>
      <c r="I82" s="4" t="s">
        <v>14</v>
      </c>
      <c r="J82" s="4">
        <v>2</v>
      </c>
      <c r="K82" s="5">
        <v>12</v>
      </c>
      <c r="L82" s="4" t="s">
        <v>26</v>
      </c>
      <c r="M82" s="4" t="s">
        <v>16</v>
      </c>
      <c r="N82" s="5">
        <v>24</v>
      </c>
    </row>
    <row r="83" spans="1:14">
      <c r="A83" t="s">
        <v>198</v>
      </c>
      <c r="B83" s="4" t="s">
        <v>196</v>
      </c>
      <c r="C83" s="4">
        <f t="shared" si="4"/>
        <v>2026</v>
      </c>
      <c r="D83" s="4" t="str">
        <f t="shared" si="5"/>
        <v>August</v>
      </c>
      <c r="E83" s="4" t="str">
        <f t="shared" si="6"/>
        <v>Friday</v>
      </c>
      <c r="F83" s="4" t="s">
        <v>199</v>
      </c>
      <c r="G83" s="4">
        <f t="shared" si="7"/>
        <v>10</v>
      </c>
      <c r="H83" s="4" t="s">
        <v>35</v>
      </c>
      <c r="I83" s="4" t="s">
        <v>14</v>
      </c>
      <c r="J83" s="4">
        <v>1</v>
      </c>
      <c r="K83" s="5">
        <v>13</v>
      </c>
      <c r="L83" s="4" t="s">
        <v>15</v>
      </c>
      <c r="M83" s="4" t="s">
        <v>44</v>
      </c>
      <c r="N83" s="5">
        <v>13</v>
      </c>
    </row>
    <row r="84" spans="1:14">
      <c r="A84" t="s">
        <v>200</v>
      </c>
      <c r="B84" s="4" t="s">
        <v>196</v>
      </c>
      <c r="C84" s="4">
        <f t="shared" si="4"/>
        <v>2026</v>
      </c>
      <c r="D84" s="4" t="str">
        <f t="shared" si="5"/>
        <v>August</v>
      </c>
      <c r="E84" s="4" t="str">
        <f t="shared" si="6"/>
        <v>Friday</v>
      </c>
      <c r="F84" s="4" t="s">
        <v>201</v>
      </c>
      <c r="G84" s="4">
        <f t="shared" si="7"/>
        <v>11</v>
      </c>
      <c r="H84" s="4" t="s">
        <v>54</v>
      </c>
      <c r="I84" s="4" t="s">
        <v>30</v>
      </c>
      <c r="J84" s="4">
        <v>1</v>
      </c>
      <c r="K84" s="5">
        <v>8</v>
      </c>
      <c r="L84" s="4" t="s">
        <v>26</v>
      </c>
      <c r="M84" s="4" t="s">
        <v>44</v>
      </c>
      <c r="N84" s="5">
        <v>8</v>
      </c>
    </row>
    <row r="85" spans="1:14">
      <c r="A85" t="s">
        <v>202</v>
      </c>
      <c r="B85" s="4" t="s">
        <v>196</v>
      </c>
      <c r="C85" s="4">
        <f t="shared" si="4"/>
        <v>2026</v>
      </c>
      <c r="D85" s="4" t="str">
        <f t="shared" si="5"/>
        <v>August</v>
      </c>
      <c r="E85" s="4" t="str">
        <f t="shared" si="6"/>
        <v>Friday</v>
      </c>
      <c r="F85" s="4" t="s">
        <v>203</v>
      </c>
      <c r="G85" s="4">
        <f t="shared" si="7"/>
        <v>13</v>
      </c>
      <c r="H85" s="4" t="s">
        <v>51</v>
      </c>
      <c r="I85" s="4" t="s">
        <v>14</v>
      </c>
      <c r="J85" s="4">
        <v>2</v>
      </c>
      <c r="K85" s="5">
        <v>7</v>
      </c>
      <c r="L85" s="4" t="s">
        <v>41</v>
      </c>
      <c r="M85" s="4" t="s">
        <v>16</v>
      </c>
      <c r="N85" s="5">
        <v>14</v>
      </c>
    </row>
    <row r="86" spans="1:14">
      <c r="A86" t="s">
        <v>204</v>
      </c>
      <c r="B86" s="4" t="s">
        <v>196</v>
      </c>
      <c r="C86" s="4">
        <f t="shared" si="4"/>
        <v>2026</v>
      </c>
      <c r="D86" s="4" t="str">
        <f t="shared" si="5"/>
        <v>August</v>
      </c>
      <c r="E86" s="4" t="str">
        <f t="shared" si="6"/>
        <v>Friday</v>
      </c>
      <c r="F86" s="4" t="s">
        <v>205</v>
      </c>
      <c r="G86" s="4">
        <f t="shared" si="7"/>
        <v>13</v>
      </c>
      <c r="H86" s="4" t="s">
        <v>72</v>
      </c>
      <c r="I86" s="4" t="s">
        <v>14</v>
      </c>
      <c r="J86" s="4">
        <v>3</v>
      </c>
      <c r="K86" s="5">
        <v>14</v>
      </c>
      <c r="L86" s="4" t="s">
        <v>15</v>
      </c>
      <c r="M86" s="4" t="s">
        <v>44</v>
      </c>
      <c r="N86" s="5">
        <v>42</v>
      </c>
    </row>
    <row r="87" spans="1:14">
      <c r="A87" t="s">
        <v>206</v>
      </c>
      <c r="B87" s="4" t="s">
        <v>196</v>
      </c>
      <c r="C87" s="4">
        <f t="shared" si="4"/>
        <v>2026</v>
      </c>
      <c r="D87" s="4" t="str">
        <f t="shared" si="5"/>
        <v>August</v>
      </c>
      <c r="E87" s="4" t="str">
        <f t="shared" si="6"/>
        <v>Friday</v>
      </c>
      <c r="F87" s="4" t="s">
        <v>153</v>
      </c>
      <c r="G87" s="4">
        <f t="shared" si="7"/>
        <v>13</v>
      </c>
      <c r="H87" s="4" t="s">
        <v>54</v>
      </c>
      <c r="I87" s="4" t="s">
        <v>30</v>
      </c>
      <c r="J87" s="4">
        <v>1</v>
      </c>
      <c r="K87" s="5">
        <v>8</v>
      </c>
      <c r="L87" s="4" t="s">
        <v>26</v>
      </c>
      <c r="M87" s="4" t="s">
        <v>44</v>
      </c>
      <c r="N87" s="5">
        <v>8</v>
      </c>
    </row>
    <row r="88" spans="1:14">
      <c r="A88" t="s">
        <v>207</v>
      </c>
      <c r="B88" s="4" t="s">
        <v>196</v>
      </c>
      <c r="C88" s="4">
        <f t="shared" si="4"/>
        <v>2026</v>
      </c>
      <c r="D88" s="4" t="str">
        <f t="shared" si="5"/>
        <v>August</v>
      </c>
      <c r="E88" s="4" t="str">
        <f t="shared" si="6"/>
        <v>Friday</v>
      </c>
      <c r="F88" s="4" t="s">
        <v>208</v>
      </c>
      <c r="G88" s="4">
        <f t="shared" si="7"/>
        <v>15</v>
      </c>
      <c r="H88" s="4" t="s">
        <v>38</v>
      </c>
      <c r="I88" s="4" t="s">
        <v>14</v>
      </c>
      <c r="J88" s="4">
        <v>2</v>
      </c>
      <c r="K88" s="5">
        <v>9</v>
      </c>
      <c r="L88" s="4" t="s">
        <v>15</v>
      </c>
      <c r="M88" s="4" t="s">
        <v>44</v>
      </c>
      <c r="N88" s="5">
        <v>18</v>
      </c>
    </row>
    <row r="89" spans="1:14">
      <c r="A89" t="s">
        <v>209</v>
      </c>
      <c r="B89" s="4" t="s">
        <v>196</v>
      </c>
      <c r="C89" s="4">
        <f t="shared" si="4"/>
        <v>2026</v>
      </c>
      <c r="D89" s="4" t="str">
        <f t="shared" si="5"/>
        <v>August</v>
      </c>
      <c r="E89" s="4" t="str">
        <f t="shared" si="6"/>
        <v>Friday</v>
      </c>
      <c r="F89" s="4" t="s">
        <v>102</v>
      </c>
      <c r="G89" s="4">
        <f t="shared" si="7"/>
        <v>16</v>
      </c>
      <c r="H89" s="4" t="s">
        <v>35</v>
      </c>
      <c r="I89" s="4" t="s">
        <v>14</v>
      </c>
      <c r="J89" s="4">
        <v>2</v>
      </c>
      <c r="K89" s="5">
        <v>13</v>
      </c>
      <c r="L89" s="4" t="s">
        <v>26</v>
      </c>
      <c r="M89" s="4" t="s">
        <v>16</v>
      </c>
      <c r="N89" s="5">
        <v>26</v>
      </c>
    </row>
    <row r="90" spans="1:14">
      <c r="A90" t="s">
        <v>210</v>
      </c>
      <c r="B90" s="4" t="s">
        <v>196</v>
      </c>
      <c r="C90" s="4">
        <f t="shared" si="4"/>
        <v>2026</v>
      </c>
      <c r="D90" s="4" t="str">
        <f t="shared" si="5"/>
        <v>August</v>
      </c>
      <c r="E90" s="4" t="str">
        <f t="shared" si="6"/>
        <v>Friday</v>
      </c>
      <c r="F90" s="4" t="s">
        <v>211</v>
      </c>
      <c r="G90" s="4">
        <f t="shared" si="7"/>
        <v>18</v>
      </c>
      <c r="H90" s="4" t="s">
        <v>13</v>
      </c>
      <c r="I90" s="4" t="s">
        <v>14</v>
      </c>
      <c r="J90" s="4">
        <v>2</v>
      </c>
      <c r="K90" s="5">
        <v>15</v>
      </c>
      <c r="L90" s="4" t="s">
        <v>41</v>
      </c>
      <c r="M90" s="4" t="s">
        <v>16</v>
      </c>
      <c r="N90" s="5">
        <v>30</v>
      </c>
    </row>
    <row r="91" spans="1:14">
      <c r="A91" t="s">
        <v>212</v>
      </c>
      <c r="B91" s="4" t="s">
        <v>213</v>
      </c>
      <c r="C91" s="4">
        <f t="shared" si="4"/>
        <v>2026</v>
      </c>
      <c r="D91" s="4" t="str">
        <f t="shared" si="5"/>
        <v>August</v>
      </c>
      <c r="E91" s="4" t="str">
        <f t="shared" si="6"/>
        <v>Saturday</v>
      </c>
      <c r="F91" s="4" t="s">
        <v>214</v>
      </c>
      <c r="G91" s="4">
        <f t="shared" si="7"/>
        <v>8</v>
      </c>
      <c r="H91" s="4" t="s">
        <v>21</v>
      </c>
      <c r="I91" s="4" t="s">
        <v>14</v>
      </c>
      <c r="J91" s="4">
        <v>2</v>
      </c>
      <c r="K91" s="5">
        <v>12</v>
      </c>
      <c r="L91" s="4" t="s">
        <v>26</v>
      </c>
      <c r="M91" s="4" t="s">
        <v>44</v>
      </c>
      <c r="N91" s="5">
        <v>24</v>
      </c>
    </row>
    <row r="92" spans="1:14">
      <c r="A92" t="s">
        <v>215</v>
      </c>
      <c r="B92" s="4" t="s">
        <v>213</v>
      </c>
      <c r="C92" s="4">
        <f t="shared" si="4"/>
        <v>2026</v>
      </c>
      <c r="D92" s="4" t="str">
        <f t="shared" si="5"/>
        <v>August</v>
      </c>
      <c r="E92" s="4" t="str">
        <f t="shared" si="6"/>
        <v>Saturday</v>
      </c>
      <c r="F92" s="4" t="s">
        <v>216</v>
      </c>
      <c r="G92" s="4">
        <f t="shared" si="7"/>
        <v>10</v>
      </c>
      <c r="H92" s="4" t="s">
        <v>13</v>
      </c>
      <c r="I92" s="4" t="s">
        <v>14</v>
      </c>
      <c r="J92" s="4">
        <v>1</v>
      </c>
      <c r="K92" s="5">
        <v>15</v>
      </c>
      <c r="L92" s="4" t="s">
        <v>26</v>
      </c>
      <c r="M92" s="4" t="s">
        <v>16</v>
      </c>
      <c r="N92" s="5">
        <v>15</v>
      </c>
    </row>
    <row r="93" spans="1:14">
      <c r="A93" t="s">
        <v>217</v>
      </c>
      <c r="B93" s="4" t="s">
        <v>213</v>
      </c>
      <c r="C93" s="4">
        <f t="shared" si="4"/>
        <v>2026</v>
      </c>
      <c r="D93" s="4" t="str">
        <f t="shared" si="5"/>
        <v>August</v>
      </c>
      <c r="E93" s="4" t="str">
        <f t="shared" si="6"/>
        <v>Saturday</v>
      </c>
      <c r="F93" s="4" t="s">
        <v>218</v>
      </c>
      <c r="G93" s="4">
        <f t="shared" si="7"/>
        <v>10</v>
      </c>
      <c r="H93" s="4" t="s">
        <v>54</v>
      </c>
      <c r="I93" s="4" t="s">
        <v>30</v>
      </c>
      <c r="J93" s="4">
        <v>1</v>
      </c>
      <c r="K93" s="5">
        <v>8</v>
      </c>
      <c r="L93" s="4" t="s">
        <v>26</v>
      </c>
      <c r="M93" s="4" t="s">
        <v>16</v>
      </c>
      <c r="N93" s="5">
        <v>8</v>
      </c>
    </row>
    <row r="94" spans="1:14">
      <c r="A94" t="s">
        <v>219</v>
      </c>
      <c r="B94" s="4" t="s">
        <v>213</v>
      </c>
      <c r="C94" s="4">
        <f t="shared" si="4"/>
        <v>2026</v>
      </c>
      <c r="D94" s="4" t="str">
        <f t="shared" si="5"/>
        <v>August</v>
      </c>
      <c r="E94" s="4" t="str">
        <f t="shared" si="6"/>
        <v>Saturday</v>
      </c>
      <c r="F94" s="4" t="s">
        <v>117</v>
      </c>
      <c r="G94" s="4">
        <f t="shared" si="7"/>
        <v>11</v>
      </c>
      <c r="H94" s="4" t="s">
        <v>54</v>
      </c>
      <c r="I94" s="4" t="s">
        <v>30</v>
      </c>
      <c r="J94" s="4">
        <v>1</v>
      </c>
      <c r="K94" s="5">
        <v>8</v>
      </c>
      <c r="L94" s="4" t="s">
        <v>41</v>
      </c>
      <c r="M94" s="4" t="s">
        <v>44</v>
      </c>
      <c r="N94" s="5">
        <v>8</v>
      </c>
    </row>
    <row r="95" spans="1:14">
      <c r="A95" t="s">
        <v>220</v>
      </c>
      <c r="B95" s="4" t="s">
        <v>213</v>
      </c>
      <c r="C95" s="4">
        <f t="shared" si="4"/>
        <v>2026</v>
      </c>
      <c r="D95" s="4" t="str">
        <f t="shared" si="5"/>
        <v>August</v>
      </c>
      <c r="E95" s="4" t="str">
        <f t="shared" si="6"/>
        <v>Saturday</v>
      </c>
      <c r="F95" s="4" t="s">
        <v>221</v>
      </c>
      <c r="G95" s="4">
        <f t="shared" si="7"/>
        <v>11</v>
      </c>
      <c r="H95" s="4" t="s">
        <v>35</v>
      </c>
      <c r="I95" s="4" t="s">
        <v>14</v>
      </c>
      <c r="J95" s="4">
        <v>2</v>
      </c>
      <c r="K95" s="5">
        <v>13</v>
      </c>
      <c r="L95" s="4" t="s">
        <v>26</v>
      </c>
      <c r="M95" s="4" t="s">
        <v>44</v>
      </c>
      <c r="N95" s="5">
        <v>26</v>
      </c>
    </row>
    <row r="96" spans="1:14">
      <c r="A96" t="s">
        <v>222</v>
      </c>
      <c r="B96" s="4" t="s">
        <v>213</v>
      </c>
      <c r="C96" s="4">
        <f t="shared" si="4"/>
        <v>2026</v>
      </c>
      <c r="D96" s="4" t="str">
        <f t="shared" si="5"/>
        <v>August</v>
      </c>
      <c r="E96" s="4" t="str">
        <f t="shared" si="6"/>
        <v>Saturday</v>
      </c>
      <c r="F96" s="4" t="s">
        <v>223</v>
      </c>
      <c r="G96" s="4">
        <f t="shared" si="7"/>
        <v>11</v>
      </c>
      <c r="H96" s="4" t="s">
        <v>29</v>
      </c>
      <c r="I96" s="4" t="s">
        <v>30</v>
      </c>
      <c r="J96" s="4">
        <v>1</v>
      </c>
      <c r="K96" s="5">
        <v>9</v>
      </c>
      <c r="L96" s="4" t="s">
        <v>15</v>
      </c>
      <c r="M96" s="4" t="s">
        <v>16</v>
      </c>
      <c r="N96" s="5">
        <v>9</v>
      </c>
    </row>
    <row r="97" spans="1:14">
      <c r="A97" t="s">
        <v>224</v>
      </c>
      <c r="B97" s="4" t="s">
        <v>213</v>
      </c>
      <c r="C97" s="4">
        <f t="shared" si="4"/>
        <v>2026</v>
      </c>
      <c r="D97" s="4" t="str">
        <f t="shared" si="5"/>
        <v>August</v>
      </c>
      <c r="E97" s="4" t="str">
        <f t="shared" si="6"/>
        <v>Saturday</v>
      </c>
      <c r="F97" s="4" t="s">
        <v>225</v>
      </c>
      <c r="G97" s="4">
        <f t="shared" si="7"/>
        <v>16</v>
      </c>
      <c r="H97" s="4" t="s">
        <v>115</v>
      </c>
      <c r="I97" s="4" t="s">
        <v>63</v>
      </c>
      <c r="J97" s="4">
        <v>2</v>
      </c>
      <c r="K97" s="5">
        <v>16</v>
      </c>
      <c r="L97" s="4" t="s">
        <v>26</v>
      </c>
      <c r="M97" s="4" t="s">
        <v>16</v>
      </c>
      <c r="N97" s="5">
        <v>32</v>
      </c>
    </row>
    <row r="98" spans="1:14">
      <c r="A98" t="s">
        <v>226</v>
      </c>
      <c r="B98" s="4" t="s">
        <v>213</v>
      </c>
      <c r="C98" s="4">
        <f t="shared" si="4"/>
        <v>2026</v>
      </c>
      <c r="D98" s="4" t="str">
        <f t="shared" si="5"/>
        <v>August</v>
      </c>
      <c r="E98" s="4" t="str">
        <f t="shared" si="6"/>
        <v>Saturday</v>
      </c>
      <c r="F98" s="4" t="s">
        <v>135</v>
      </c>
      <c r="G98" s="4">
        <f t="shared" si="7"/>
        <v>18</v>
      </c>
      <c r="H98" s="4" t="s">
        <v>51</v>
      </c>
      <c r="I98" s="4" t="s">
        <v>14</v>
      </c>
      <c r="J98" s="4">
        <v>1</v>
      </c>
      <c r="K98" s="5">
        <v>7</v>
      </c>
      <c r="L98" s="4" t="s">
        <v>15</v>
      </c>
      <c r="M98" s="4" t="s">
        <v>44</v>
      </c>
      <c r="N98" s="5">
        <v>7</v>
      </c>
    </row>
    <row r="99" spans="1:14">
      <c r="A99" t="s">
        <v>227</v>
      </c>
      <c r="B99" s="4" t="s">
        <v>213</v>
      </c>
      <c r="C99" s="4">
        <f t="shared" si="4"/>
        <v>2026</v>
      </c>
      <c r="D99" s="4" t="str">
        <f t="shared" si="5"/>
        <v>August</v>
      </c>
      <c r="E99" s="4" t="str">
        <f t="shared" si="6"/>
        <v>Saturday</v>
      </c>
      <c r="F99" s="4" t="s">
        <v>228</v>
      </c>
      <c r="G99" s="4">
        <f t="shared" si="7"/>
        <v>19</v>
      </c>
      <c r="H99" s="4" t="s">
        <v>29</v>
      </c>
      <c r="I99" s="4" t="s">
        <v>30</v>
      </c>
      <c r="J99" s="4">
        <v>1</v>
      </c>
      <c r="K99" s="5">
        <v>9</v>
      </c>
      <c r="L99" s="4" t="s">
        <v>41</v>
      </c>
      <c r="M99" s="4" t="s">
        <v>16</v>
      </c>
      <c r="N99" s="5">
        <v>9</v>
      </c>
    </row>
    <row r="100" spans="1:14">
      <c r="A100" t="s">
        <v>229</v>
      </c>
      <c r="B100" s="4" t="s">
        <v>230</v>
      </c>
      <c r="C100" s="4">
        <f t="shared" si="4"/>
        <v>2026</v>
      </c>
      <c r="D100" s="4" t="str">
        <f t="shared" si="5"/>
        <v>August</v>
      </c>
      <c r="E100" s="4" t="str">
        <f t="shared" si="6"/>
        <v>Sunday</v>
      </c>
      <c r="F100" s="4" t="s">
        <v>231</v>
      </c>
      <c r="G100" s="4">
        <f t="shared" si="7"/>
        <v>9</v>
      </c>
      <c r="H100" s="4" t="s">
        <v>35</v>
      </c>
      <c r="I100" s="4" t="s">
        <v>14</v>
      </c>
      <c r="J100" s="4">
        <v>1</v>
      </c>
      <c r="K100" s="5">
        <v>13</v>
      </c>
      <c r="L100" s="4" t="s">
        <v>26</v>
      </c>
      <c r="M100" s="4" t="s">
        <v>44</v>
      </c>
      <c r="N100" s="5">
        <v>13</v>
      </c>
    </row>
    <row r="101" spans="1:14">
      <c r="A101" t="s">
        <v>232</v>
      </c>
      <c r="B101" s="4" t="s">
        <v>230</v>
      </c>
      <c r="C101" s="4">
        <f t="shared" si="4"/>
        <v>2026</v>
      </c>
      <c r="D101" s="4" t="str">
        <f t="shared" si="5"/>
        <v>August</v>
      </c>
      <c r="E101" s="4" t="str">
        <f t="shared" si="6"/>
        <v>Sunday</v>
      </c>
      <c r="F101" s="4" t="s">
        <v>233</v>
      </c>
      <c r="G101" s="4">
        <f t="shared" si="7"/>
        <v>9</v>
      </c>
      <c r="H101" s="4" t="s">
        <v>21</v>
      </c>
      <c r="I101" s="4" t="s">
        <v>14</v>
      </c>
      <c r="J101" s="4">
        <v>2</v>
      </c>
      <c r="K101" s="5">
        <v>12</v>
      </c>
      <c r="L101" s="4" t="s">
        <v>41</v>
      </c>
      <c r="M101" s="4" t="s">
        <v>16</v>
      </c>
      <c r="N101" s="5">
        <v>24</v>
      </c>
    </row>
    <row r="102" spans="1:14">
      <c r="A102" t="s">
        <v>234</v>
      </c>
      <c r="B102" s="4" t="s">
        <v>230</v>
      </c>
      <c r="C102" s="4">
        <f t="shared" si="4"/>
        <v>2026</v>
      </c>
      <c r="D102" s="4" t="str">
        <f t="shared" si="5"/>
        <v>August</v>
      </c>
      <c r="E102" s="4" t="str">
        <f t="shared" si="6"/>
        <v>Sunday</v>
      </c>
      <c r="F102" s="4" t="s">
        <v>235</v>
      </c>
      <c r="G102" s="4">
        <f t="shared" si="7"/>
        <v>10</v>
      </c>
      <c r="H102" s="4" t="s">
        <v>35</v>
      </c>
      <c r="I102" s="4" t="s">
        <v>14</v>
      </c>
      <c r="J102" s="4">
        <v>1</v>
      </c>
      <c r="K102" s="5">
        <v>13</v>
      </c>
      <c r="L102" s="4" t="s">
        <v>41</v>
      </c>
      <c r="M102" s="4" t="s">
        <v>16</v>
      </c>
      <c r="N102" s="5">
        <v>13</v>
      </c>
    </row>
    <row r="103" spans="1:14">
      <c r="A103" t="s">
        <v>236</v>
      </c>
      <c r="B103" s="4" t="s">
        <v>230</v>
      </c>
      <c r="C103" s="4">
        <f t="shared" si="4"/>
        <v>2026</v>
      </c>
      <c r="D103" s="4" t="str">
        <f t="shared" si="5"/>
        <v>August</v>
      </c>
      <c r="E103" s="4" t="str">
        <f t="shared" si="6"/>
        <v>Sunday</v>
      </c>
      <c r="F103" s="4" t="s">
        <v>237</v>
      </c>
      <c r="G103" s="4">
        <f t="shared" si="7"/>
        <v>12</v>
      </c>
      <c r="H103" s="4" t="s">
        <v>105</v>
      </c>
      <c r="I103" s="4" t="s">
        <v>25</v>
      </c>
      <c r="J103" s="4">
        <v>1</v>
      </c>
      <c r="K103" s="5">
        <v>12</v>
      </c>
      <c r="L103" s="4" t="s">
        <v>26</v>
      </c>
      <c r="M103" s="4" t="s">
        <v>44</v>
      </c>
      <c r="N103" s="5">
        <v>12</v>
      </c>
    </row>
    <row r="104" spans="1:14">
      <c r="A104" t="s">
        <v>238</v>
      </c>
      <c r="B104" s="4" t="s">
        <v>230</v>
      </c>
      <c r="C104" s="4">
        <f t="shared" si="4"/>
        <v>2026</v>
      </c>
      <c r="D104" s="4" t="str">
        <f t="shared" si="5"/>
        <v>August</v>
      </c>
      <c r="E104" s="4" t="str">
        <f t="shared" si="6"/>
        <v>Sunday</v>
      </c>
      <c r="F104" s="4" t="s">
        <v>239</v>
      </c>
      <c r="G104" s="4">
        <f t="shared" si="7"/>
        <v>12</v>
      </c>
      <c r="H104" s="4" t="s">
        <v>51</v>
      </c>
      <c r="I104" s="4" t="s">
        <v>14</v>
      </c>
      <c r="J104" s="4">
        <v>1</v>
      </c>
      <c r="K104" s="5">
        <v>7</v>
      </c>
      <c r="L104" s="4" t="s">
        <v>41</v>
      </c>
      <c r="M104" s="4" t="s">
        <v>44</v>
      </c>
      <c r="N104" s="5">
        <v>7</v>
      </c>
    </row>
    <row r="105" spans="1:14">
      <c r="A105" t="s">
        <v>240</v>
      </c>
      <c r="B105" s="4" t="s">
        <v>230</v>
      </c>
      <c r="C105" s="4">
        <f t="shared" si="4"/>
        <v>2026</v>
      </c>
      <c r="D105" s="4" t="str">
        <f t="shared" si="5"/>
        <v>August</v>
      </c>
      <c r="E105" s="4" t="str">
        <f t="shared" si="6"/>
        <v>Sunday</v>
      </c>
      <c r="F105" s="4" t="s">
        <v>241</v>
      </c>
      <c r="G105" s="4">
        <f t="shared" si="7"/>
        <v>14</v>
      </c>
      <c r="H105" s="4" t="s">
        <v>72</v>
      </c>
      <c r="I105" s="4" t="s">
        <v>14</v>
      </c>
      <c r="J105" s="4">
        <v>1</v>
      </c>
      <c r="K105" s="5">
        <v>14</v>
      </c>
      <c r="L105" s="4" t="s">
        <v>15</v>
      </c>
      <c r="M105" s="4" t="s">
        <v>44</v>
      </c>
      <c r="N105" s="5">
        <v>14</v>
      </c>
    </row>
    <row r="106" spans="1:14">
      <c r="A106" t="s">
        <v>242</v>
      </c>
      <c r="B106" s="4" t="s">
        <v>230</v>
      </c>
      <c r="C106" s="4">
        <f t="shared" si="4"/>
        <v>2026</v>
      </c>
      <c r="D106" s="4" t="str">
        <f t="shared" si="5"/>
        <v>August</v>
      </c>
      <c r="E106" s="4" t="str">
        <f t="shared" si="6"/>
        <v>Sunday</v>
      </c>
      <c r="F106" s="4" t="s">
        <v>243</v>
      </c>
      <c r="G106" s="4">
        <f t="shared" si="7"/>
        <v>14</v>
      </c>
      <c r="H106" s="4" t="s">
        <v>35</v>
      </c>
      <c r="I106" s="4" t="s">
        <v>14</v>
      </c>
      <c r="J106" s="4">
        <v>2</v>
      </c>
      <c r="K106" s="5">
        <v>13</v>
      </c>
      <c r="L106" s="4" t="s">
        <v>41</v>
      </c>
      <c r="M106" s="4" t="s">
        <v>44</v>
      </c>
      <c r="N106" s="5">
        <v>26</v>
      </c>
    </row>
    <row r="107" spans="1:14">
      <c r="A107" t="s">
        <v>244</v>
      </c>
      <c r="B107" s="4" t="s">
        <v>230</v>
      </c>
      <c r="C107" s="4">
        <f t="shared" si="4"/>
        <v>2026</v>
      </c>
      <c r="D107" s="4" t="str">
        <f t="shared" si="5"/>
        <v>August</v>
      </c>
      <c r="E107" s="4" t="str">
        <f t="shared" si="6"/>
        <v>Sunday</v>
      </c>
      <c r="F107" s="4" t="s">
        <v>245</v>
      </c>
      <c r="G107" s="4">
        <f t="shared" si="7"/>
        <v>15</v>
      </c>
      <c r="H107" s="4" t="s">
        <v>24</v>
      </c>
      <c r="I107" s="4" t="s">
        <v>25</v>
      </c>
      <c r="J107" s="4">
        <v>2</v>
      </c>
      <c r="K107" s="5">
        <v>14</v>
      </c>
      <c r="L107" s="4" t="s">
        <v>26</v>
      </c>
      <c r="M107" s="4" t="s">
        <v>44</v>
      </c>
      <c r="N107" s="5">
        <v>28</v>
      </c>
    </row>
    <row r="108" spans="1:14">
      <c r="A108" t="s">
        <v>246</v>
      </c>
      <c r="B108" s="4" t="s">
        <v>230</v>
      </c>
      <c r="C108" s="4">
        <f t="shared" si="4"/>
        <v>2026</v>
      </c>
      <c r="D108" s="4" t="str">
        <f t="shared" si="5"/>
        <v>August</v>
      </c>
      <c r="E108" s="4" t="str">
        <f t="shared" si="6"/>
        <v>Sunday</v>
      </c>
      <c r="F108" s="4" t="s">
        <v>247</v>
      </c>
      <c r="G108" s="4">
        <f t="shared" si="7"/>
        <v>17</v>
      </c>
      <c r="H108" s="4" t="s">
        <v>29</v>
      </c>
      <c r="I108" s="4" t="s">
        <v>30</v>
      </c>
      <c r="J108" s="4">
        <v>2</v>
      </c>
      <c r="K108" s="5">
        <v>9</v>
      </c>
      <c r="L108" s="4" t="s">
        <v>15</v>
      </c>
      <c r="M108" s="4" t="s">
        <v>16</v>
      </c>
      <c r="N108" s="5">
        <v>18</v>
      </c>
    </row>
    <row r="109" spans="1:14">
      <c r="A109" t="s">
        <v>248</v>
      </c>
      <c r="B109" s="4" t="s">
        <v>249</v>
      </c>
      <c r="C109" s="4">
        <f t="shared" si="4"/>
        <v>2026</v>
      </c>
      <c r="D109" s="4" t="str">
        <f t="shared" si="5"/>
        <v>August</v>
      </c>
      <c r="E109" s="4" t="str">
        <f t="shared" si="6"/>
        <v>Monday</v>
      </c>
      <c r="F109" s="4" t="s">
        <v>12</v>
      </c>
      <c r="G109" s="4">
        <f t="shared" si="7"/>
        <v>8</v>
      </c>
      <c r="H109" s="4" t="s">
        <v>35</v>
      </c>
      <c r="I109" s="4" t="s">
        <v>14</v>
      </c>
      <c r="J109" s="4">
        <v>2</v>
      </c>
      <c r="K109" s="5">
        <v>13</v>
      </c>
      <c r="L109" s="4" t="s">
        <v>15</v>
      </c>
      <c r="M109" s="4" t="s">
        <v>16</v>
      </c>
      <c r="N109" s="5">
        <v>26</v>
      </c>
    </row>
    <row r="110" spans="1:14">
      <c r="A110" t="s">
        <v>250</v>
      </c>
      <c r="B110" s="4" t="s">
        <v>249</v>
      </c>
      <c r="C110" s="4">
        <f t="shared" si="4"/>
        <v>2026</v>
      </c>
      <c r="D110" s="4" t="str">
        <f t="shared" si="5"/>
        <v>August</v>
      </c>
      <c r="E110" s="4" t="str">
        <f t="shared" si="6"/>
        <v>Monday</v>
      </c>
      <c r="F110" s="4" t="s">
        <v>251</v>
      </c>
      <c r="G110" s="4">
        <f t="shared" si="7"/>
        <v>9</v>
      </c>
      <c r="H110" s="4" t="s">
        <v>62</v>
      </c>
      <c r="I110" s="4" t="s">
        <v>63</v>
      </c>
      <c r="J110" s="4">
        <v>1</v>
      </c>
      <c r="K110" s="5">
        <v>10</v>
      </c>
      <c r="L110" s="4" t="s">
        <v>41</v>
      </c>
      <c r="M110" s="4" t="s">
        <v>16</v>
      </c>
      <c r="N110" s="5">
        <v>10</v>
      </c>
    </row>
    <row r="111" spans="1:14">
      <c r="A111" t="s">
        <v>252</v>
      </c>
      <c r="B111" s="4" t="s">
        <v>249</v>
      </c>
      <c r="C111" s="4">
        <f t="shared" si="4"/>
        <v>2026</v>
      </c>
      <c r="D111" s="4" t="str">
        <f t="shared" si="5"/>
        <v>August</v>
      </c>
      <c r="E111" s="4" t="str">
        <f t="shared" si="6"/>
        <v>Monday</v>
      </c>
      <c r="F111" s="4" t="s">
        <v>253</v>
      </c>
      <c r="G111" s="4">
        <f t="shared" si="7"/>
        <v>9</v>
      </c>
      <c r="H111" s="4" t="s">
        <v>115</v>
      </c>
      <c r="I111" s="4" t="s">
        <v>63</v>
      </c>
      <c r="J111" s="4">
        <v>3</v>
      </c>
      <c r="K111" s="5">
        <v>16</v>
      </c>
      <c r="L111" s="4" t="s">
        <v>41</v>
      </c>
      <c r="M111" s="4" t="s">
        <v>16</v>
      </c>
      <c r="N111" s="5">
        <v>48</v>
      </c>
    </row>
    <row r="112" spans="1:14">
      <c r="A112" t="s">
        <v>254</v>
      </c>
      <c r="B112" s="4" t="s">
        <v>249</v>
      </c>
      <c r="C112" s="4">
        <f t="shared" si="4"/>
        <v>2026</v>
      </c>
      <c r="D112" s="4" t="str">
        <f t="shared" si="5"/>
        <v>August</v>
      </c>
      <c r="E112" s="4" t="str">
        <f t="shared" si="6"/>
        <v>Monday</v>
      </c>
      <c r="F112" s="4" t="s">
        <v>255</v>
      </c>
      <c r="G112" s="4">
        <f t="shared" si="7"/>
        <v>10</v>
      </c>
      <c r="H112" s="4" t="s">
        <v>24</v>
      </c>
      <c r="I112" s="4" t="s">
        <v>25</v>
      </c>
      <c r="J112" s="4">
        <v>2</v>
      </c>
      <c r="K112" s="5">
        <v>14</v>
      </c>
      <c r="L112" s="4" t="s">
        <v>41</v>
      </c>
      <c r="M112" s="4" t="s">
        <v>44</v>
      </c>
      <c r="N112" s="5">
        <v>28</v>
      </c>
    </row>
    <row r="113" spans="1:14">
      <c r="A113" t="s">
        <v>256</v>
      </c>
      <c r="B113" s="4" t="s">
        <v>249</v>
      </c>
      <c r="C113" s="4">
        <f t="shared" si="4"/>
        <v>2026</v>
      </c>
      <c r="D113" s="4" t="str">
        <f t="shared" si="5"/>
        <v>August</v>
      </c>
      <c r="E113" s="4" t="str">
        <f t="shared" si="6"/>
        <v>Monday</v>
      </c>
      <c r="F113" s="4" t="s">
        <v>257</v>
      </c>
      <c r="G113" s="4">
        <f t="shared" si="7"/>
        <v>10</v>
      </c>
      <c r="H113" s="4" t="s">
        <v>13</v>
      </c>
      <c r="I113" s="4" t="s">
        <v>14</v>
      </c>
      <c r="J113" s="4">
        <v>1</v>
      </c>
      <c r="K113" s="5">
        <v>15</v>
      </c>
      <c r="L113" s="4" t="s">
        <v>15</v>
      </c>
      <c r="M113" s="4" t="s">
        <v>16</v>
      </c>
      <c r="N113" s="5">
        <v>15</v>
      </c>
    </row>
    <row r="114" spans="1:14">
      <c r="A114" t="s">
        <v>258</v>
      </c>
      <c r="B114" s="4" t="s">
        <v>249</v>
      </c>
      <c r="C114" s="4">
        <f t="shared" si="4"/>
        <v>2026</v>
      </c>
      <c r="D114" s="4" t="str">
        <f t="shared" si="5"/>
        <v>August</v>
      </c>
      <c r="E114" s="4" t="str">
        <f t="shared" si="6"/>
        <v>Monday</v>
      </c>
      <c r="F114" s="4" t="s">
        <v>259</v>
      </c>
      <c r="G114" s="4">
        <f t="shared" si="7"/>
        <v>11</v>
      </c>
      <c r="H114" s="4" t="s">
        <v>54</v>
      </c>
      <c r="I114" s="4" t="s">
        <v>30</v>
      </c>
      <c r="J114" s="4">
        <v>1</v>
      </c>
      <c r="K114" s="5">
        <v>8</v>
      </c>
      <c r="L114" s="4" t="s">
        <v>41</v>
      </c>
      <c r="M114" s="4" t="s">
        <v>44</v>
      </c>
      <c r="N114" s="5">
        <v>8</v>
      </c>
    </row>
    <row r="115" spans="1:14">
      <c r="A115" t="s">
        <v>260</v>
      </c>
      <c r="B115" s="4" t="s">
        <v>249</v>
      </c>
      <c r="C115" s="4">
        <f t="shared" si="4"/>
        <v>2026</v>
      </c>
      <c r="D115" s="4" t="str">
        <f t="shared" si="5"/>
        <v>August</v>
      </c>
      <c r="E115" s="4" t="str">
        <f t="shared" si="6"/>
        <v>Monday</v>
      </c>
      <c r="F115" s="4" t="s">
        <v>261</v>
      </c>
      <c r="G115" s="4">
        <f t="shared" si="7"/>
        <v>11</v>
      </c>
      <c r="H115" s="4" t="s">
        <v>29</v>
      </c>
      <c r="I115" s="4" t="s">
        <v>30</v>
      </c>
      <c r="J115" s="4">
        <v>1</v>
      </c>
      <c r="K115" s="5">
        <v>9</v>
      </c>
      <c r="L115" s="4" t="s">
        <v>15</v>
      </c>
      <c r="M115" s="4" t="s">
        <v>16</v>
      </c>
      <c r="N115" s="5">
        <v>9</v>
      </c>
    </row>
    <row r="116" spans="1:14">
      <c r="A116" t="s">
        <v>262</v>
      </c>
      <c r="B116" s="4" t="s">
        <v>249</v>
      </c>
      <c r="C116" s="4">
        <f t="shared" si="4"/>
        <v>2026</v>
      </c>
      <c r="D116" s="4" t="str">
        <f t="shared" si="5"/>
        <v>August</v>
      </c>
      <c r="E116" s="4" t="str">
        <f t="shared" si="6"/>
        <v>Monday</v>
      </c>
      <c r="F116" s="4" t="s">
        <v>263</v>
      </c>
      <c r="G116" s="4">
        <f t="shared" si="7"/>
        <v>13</v>
      </c>
      <c r="H116" s="4" t="s">
        <v>35</v>
      </c>
      <c r="I116" s="4" t="s">
        <v>14</v>
      </c>
      <c r="J116" s="4">
        <v>3</v>
      </c>
      <c r="K116" s="5">
        <v>13</v>
      </c>
      <c r="L116" s="4" t="s">
        <v>15</v>
      </c>
      <c r="M116" s="4" t="s">
        <v>44</v>
      </c>
      <c r="N116" s="5">
        <v>39</v>
      </c>
    </row>
    <row r="117" spans="1:14">
      <c r="A117" t="s">
        <v>264</v>
      </c>
      <c r="B117" s="4" t="s">
        <v>249</v>
      </c>
      <c r="C117" s="4">
        <f t="shared" si="4"/>
        <v>2026</v>
      </c>
      <c r="D117" s="4" t="str">
        <f t="shared" si="5"/>
        <v>August</v>
      </c>
      <c r="E117" s="4" t="str">
        <f t="shared" si="6"/>
        <v>Monday</v>
      </c>
      <c r="F117" s="4" t="s">
        <v>265</v>
      </c>
      <c r="G117" s="4">
        <f t="shared" si="7"/>
        <v>14</v>
      </c>
      <c r="H117" s="4" t="s">
        <v>21</v>
      </c>
      <c r="I117" s="4" t="s">
        <v>14</v>
      </c>
      <c r="J117" s="4">
        <v>1</v>
      </c>
      <c r="K117" s="5">
        <v>12</v>
      </c>
      <c r="L117" s="4" t="s">
        <v>41</v>
      </c>
      <c r="M117" s="4" t="s">
        <v>16</v>
      </c>
      <c r="N117" s="5">
        <v>12</v>
      </c>
    </row>
    <row r="118" spans="1:14">
      <c r="A118" t="s">
        <v>266</v>
      </c>
      <c r="B118" s="4" t="s">
        <v>249</v>
      </c>
      <c r="C118" s="4">
        <f t="shared" si="4"/>
        <v>2026</v>
      </c>
      <c r="D118" s="4" t="str">
        <f t="shared" si="5"/>
        <v>August</v>
      </c>
      <c r="E118" s="4" t="str">
        <f t="shared" si="6"/>
        <v>Monday</v>
      </c>
      <c r="F118" s="4" t="s">
        <v>267</v>
      </c>
      <c r="G118" s="4">
        <f t="shared" si="7"/>
        <v>14</v>
      </c>
      <c r="H118" s="4" t="s">
        <v>72</v>
      </c>
      <c r="I118" s="4" t="s">
        <v>14</v>
      </c>
      <c r="J118" s="4">
        <v>2</v>
      </c>
      <c r="K118" s="5">
        <v>9</v>
      </c>
      <c r="L118" s="4" t="s">
        <v>26</v>
      </c>
      <c r="M118" s="4" t="s">
        <v>44</v>
      </c>
      <c r="N118" s="5">
        <v>18</v>
      </c>
    </row>
    <row r="119" spans="1:14">
      <c r="A119" t="s">
        <v>269</v>
      </c>
      <c r="B119" s="4" t="s">
        <v>249</v>
      </c>
      <c r="C119" s="4">
        <f t="shared" si="4"/>
        <v>2026</v>
      </c>
      <c r="D119" s="4" t="str">
        <f t="shared" si="5"/>
        <v>August</v>
      </c>
      <c r="E119" s="4" t="str">
        <f t="shared" si="6"/>
        <v>Monday</v>
      </c>
      <c r="F119" s="4" t="s">
        <v>270</v>
      </c>
      <c r="G119" s="4">
        <f t="shared" si="7"/>
        <v>15</v>
      </c>
      <c r="H119" s="4" t="s">
        <v>35</v>
      </c>
      <c r="I119" s="4" t="s">
        <v>14</v>
      </c>
      <c r="J119" s="4">
        <v>1</v>
      </c>
      <c r="K119" s="5">
        <v>13</v>
      </c>
      <c r="L119" s="4" t="s">
        <v>26</v>
      </c>
      <c r="M119" s="4" t="s">
        <v>44</v>
      </c>
      <c r="N119" s="5">
        <v>13</v>
      </c>
    </row>
    <row r="120" spans="1:14">
      <c r="A120" t="s">
        <v>271</v>
      </c>
      <c r="B120" s="4" t="s">
        <v>249</v>
      </c>
      <c r="C120" s="4">
        <f t="shared" si="4"/>
        <v>2026</v>
      </c>
      <c r="D120" s="4" t="str">
        <f t="shared" si="5"/>
        <v>August</v>
      </c>
      <c r="E120" s="4" t="str">
        <f t="shared" si="6"/>
        <v>Monday</v>
      </c>
      <c r="F120" s="4" t="s">
        <v>272</v>
      </c>
      <c r="G120" s="4">
        <f t="shared" si="7"/>
        <v>16</v>
      </c>
      <c r="H120" s="4" t="s">
        <v>21</v>
      </c>
      <c r="I120" s="4" t="s">
        <v>14</v>
      </c>
      <c r="J120" s="4">
        <v>2</v>
      </c>
      <c r="K120" s="5">
        <v>12</v>
      </c>
      <c r="L120" s="4" t="s">
        <v>26</v>
      </c>
      <c r="M120" s="4" t="s">
        <v>16</v>
      </c>
      <c r="N120" s="5">
        <v>24</v>
      </c>
    </row>
    <row r="121" spans="1:14">
      <c r="A121" t="s">
        <v>273</v>
      </c>
      <c r="B121" s="4" t="s">
        <v>249</v>
      </c>
      <c r="C121" s="4">
        <f t="shared" si="4"/>
        <v>2026</v>
      </c>
      <c r="D121" s="4" t="str">
        <f t="shared" si="5"/>
        <v>August</v>
      </c>
      <c r="E121" s="4" t="str">
        <f t="shared" si="6"/>
        <v>Monday</v>
      </c>
      <c r="F121" s="4" t="s">
        <v>161</v>
      </c>
      <c r="G121" s="4">
        <f t="shared" si="7"/>
        <v>16</v>
      </c>
      <c r="H121" s="4" t="s">
        <v>38</v>
      </c>
      <c r="I121" s="4" t="s">
        <v>14</v>
      </c>
      <c r="J121" s="4">
        <v>1</v>
      </c>
      <c r="K121" s="5">
        <v>9</v>
      </c>
      <c r="L121" s="4" t="s">
        <v>15</v>
      </c>
      <c r="M121" s="4" t="s">
        <v>44</v>
      </c>
      <c r="N121" s="5">
        <v>9</v>
      </c>
    </row>
    <row r="122" spans="1:14">
      <c r="A122" t="s">
        <v>274</v>
      </c>
      <c r="B122" s="4" t="s">
        <v>249</v>
      </c>
      <c r="C122" s="4">
        <f t="shared" si="4"/>
        <v>2026</v>
      </c>
      <c r="D122" s="4" t="str">
        <f t="shared" si="5"/>
        <v>August</v>
      </c>
      <c r="E122" s="4" t="str">
        <f t="shared" si="6"/>
        <v>Monday</v>
      </c>
      <c r="F122" s="4" t="s">
        <v>275</v>
      </c>
      <c r="G122" s="4">
        <f t="shared" si="7"/>
        <v>16</v>
      </c>
      <c r="H122" s="4" t="s">
        <v>72</v>
      </c>
      <c r="I122" s="4" t="s">
        <v>14</v>
      </c>
      <c r="J122" s="4">
        <v>1</v>
      </c>
      <c r="K122" s="5">
        <v>14</v>
      </c>
      <c r="L122" s="4" t="s">
        <v>41</v>
      </c>
      <c r="M122" s="4" t="s">
        <v>16</v>
      </c>
      <c r="N122" s="5">
        <v>14</v>
      </c>
    </row>
    <row r="123" spans="1:14">
      <c r="A123" t="s">
        <v>276</v>
      </c>
      <c r="B123" s="4" t="s">
        <v>249</v>
      </c>
      <c r="C123" s="4">
        <f t="shared" si="4"/>
        <v>2026</v>
      </c>
      <c r="D123" s="4" t="str">
        <f t="shared" si="5"/>
        <v>August</v>
      </c>
      <c r="E123" s="4" t="str">
        <f t="shared" si="6"/>
        <v>Monday</v>
      </c>
      <c r="F123" s="4" t="s">
        <v>277</v>
      </c>
      <c r="G123" s="4">
        <f t="shared" si="7"/>
        <v>16</v>
      </c>
      <c r="H123" s="4" t="s">
        <v>115</v>
      </c>
      <c r="I123" s="4" t="s">
        <v>63</v>
      </c>
      <c r="J123" s="4">
        <v>1</v>
      </c>
      <c r="K123" s="5">
        <v>16</v>
      </c>
      <c r="L123" s="4" t="s">
        <v>26</v>
      </c>
      <c r="M123" s="4" t="s">
        <v>44</v>
      </c>
      <c r="N123" s="5">
        <v>16</v>
      </c>
    </row>
    <row r="124" spans="1:14">
      <c r="A124" t="s">
        <v>278</v>
      </c>
      <c r="B124" s="4" t="s">
        <v>249</v>
      </c>
      <c r="C124" s="4">
        <f t="shared" si="4"/>
        <v>2026</v>
      </c>
      <c r="D124" s="4" t="str">
        <f t="shared" si="5"/>
        <v>August</v>
      </c>
      <c r="E124" s="4" t="str">
        <f t="shared" si="6"/>
        <v>Monday</v>
      </c>
      <c r="F124" s="4" t="s">
        <v>279</v>
      </c>
      <c r="G124" s="4">
        <f t="shared" si="7"/>
        <v>16</v>
      </c>
      <c r="H124" s="4" t="s">
        <v>35</v>
      </c>
      <c r="I124" s="4" t="s">
        <v>14</v>
      </c>
      <c r="J124" s="4">
        <v>1</v>
      </c>
      <c r="K124" s="5">
        <v>13</v>
      </c>
      <c r="L124" s="4" t="s">
        <v>26</v>
      </c>
      <c r="M124" s="4" t="s">
        <v>44</v>
      </c>
      <c r="N124" s="5">
        <v>13</v>
      </c>
    </row>
    <row r="125" spans="1:14">
      <c r="A125" t="s">
        <v>280</v>
      </c>
      <c r="B125" s="4" t="s">
        <v>249</v>
      </c>
      <c r="C125" s="4">
        <f t="shared" si="4"/>
        <v>2026</v>
      </c>
      <c r="D125" s="4" t="str">
        <f t="shared" si="5"/>
        <v>August</v>
      </c>
      <c r="E125" s="4" t="str">
        <f t="shared" si="6"/>
        <v>Monday</v>
      </c>
      <c r="F125" s="4" t="s">
        <v>281</v>
      </c>
      <c r="G125" s="4">
        <f t="shared" si="7"/>
        <v>17</v>
      </c>
      <c r="H125" s="4" t="s">
        <v>35</v>
      </c>
      <c r="I125" s="4" t="s">
        <v>14</v>
      </c>
      <c r="J125" s="4">
        <v>1</v>
      </c>
      <c r="K125" s="5">
        <v>13</v>
      </c>
      <c r="L125" s="4" t="s">
        <v>26</v>
      </c>
      <c r="M125" s="4" t="s">
        <v>44</v>
      </c>
      <c r="N125" s="5">
        <v>13</v>
      </c>
    </row>
    <row r="126" spans="1:14">
      <c r="A126" t="s">
        <v>282</v>
      </c>
      <c r="B126" s="4" t="s">
        <v>283</v>
      </c>
      <c r="C126" s="4">
        <f t="shared" si="4"/>
        <v>2026</v>
      </c>
      <c r="D126" s="4" t="str">
        <f t="shared" si="5"/>
        <v>August</v>
      </c>
      <c r="E126" s="4" t="str">
        <f t="shared" si="6"/>
        <v>Tuesday</v>
      </c>
      <c r="F126" s="4" t="s">
        <v>284</v>
      </c>
      <c r="G126" s="4">
        <f t="shared" si="7"/>
        <v>8</v>
      </c>
      <c r="H126" s="4" t="s">
        <v>62</v>
      </c>
      <c r="I126" s="4" t="s">
        <v>63</v>
      </c>
      <c r="J126" s="4">
        <v>2</v>
      </c>
      <c r="K126" s="5">
        <v>10</v>
      </c>
      <c r="L126" s="4" t="s">
        <v>26</v>
      </c>
      <c r="M126" s="4" t="s">
        <v>44</v>
      </c>
      <c r="N126" s="5">
        <v>20</v>
      </c>
    </row>
    <row r="127" spans="1:14">
      <c r="A127" t="s">
        <v>285</v>
      </c>
      <c r="B127" s="4" t="s">
        <v>283</v>
      </c>
      <c r="C127" s="4">
        <f t="shared" si="4"/>
        <v>2026</v>
      </c>
      <c r="D127" s="4" t="str">
        <f t="shared" si="5"/>
        <v>August</v>
      </c>
      <c r="E127" s="4" t="str">
        <f t="shared" si="6"/>
        <v>Tuesday</v>
      </c>
      <c r="F127" s="4" t="s">
        <v>286</v>
      </c>
      <c r="G127" s="4">
        <f t="shared" si="7"/>
        <v>8</v>
      </c>
      <c r="H127" s="4" t="s">
        <v>29</v>
      </c>
      <c r="I127" s="4" t="s">
        <v>30</v>
      </c>
      <c r="J127" s="4">
        <v>3</v>
      </c>
      <c r="K127" s="5">
        <v>9</v>
      </c>
      <c r="L127" s="4" t="s">
        <v>26</v>
      </c>
      <c r="M127" s="4" t="s">
        <v>16</v>
      </c>
      <c r="N127" s="5">
        <v>27</v>
      </c>
    </row>
    <row r="128" spans="1:14">
      <c r="A128" t="s">
        <v>287</v>
      </c>
      <c r="B128" s="4" t="s">
        <v>283</v>
      </c>
      <c r="C128" s="4">
        <f t="shared" si="4"/>
        <v>2026</v>
      </c>
      <c r="D128" s="4" t="str">
        <f t="shared" si="5"/>
        <v>August</v>
      </c>
      <c r="E128" s="4" t="str">
        <f t="shared" si="6"/>
        <v>Tuesday</v>
      </c>
      <c r="F128" s="4" t="s">
        <v>288</v>
      </c>
      <c r="G128" s="4">
        <f t="shared" si="7"/>
        <v>9</v>
      </c>
      <c r="H128" s="4" t="s">
        <v>51</v>
      </c>
      <c r="I128" s="4" t="s">
        <v>14</v>
      </c>
      <c r="J128" s="4">
        <v>1</v>
      </c>
      <c r="K128" s="5">
        <v>7</v>
      </c>
      <c r="L128" s="4" t="s">
        <v>41</v>
      </c>
      <c r="M128" s="4" t="s">
        <v>16</v>
      </c>
      <c r="N128" s="5">
        <v>7</v>
      </c>
    </row>
    <row r="129" spans="1:14">
      <c r="A129" t="s">
        <v>289</v>
      </c>
      <c r="B129" s="4" t="s">
        <v>283</v>
      </c>
      <c r="C129" s="4">
        <f t="shared" si="4"/>
        <v>2026</v>
      </c>
      <c r="D129" s="4" t="str">
        <f t="shared" si="5"/>
        <v>August</v>
      </c>
      <c r="E129" s="4" t="str">
        <f t="shared" si="6"/>
        <v>Tuesday</v>
      </c>
      <c r="F129" s="4" t="s">
        <v>290</v>
      </c>
      <c r="G129" s="4">
        <f t="shared" si="7"/>
        <v>9</v>
      </c>
      <c r="H129" s="4" t="s">
        <v>35</v>
      </c>
      <c r="I129" s="4" t="s">
        <v>14</v>
      </c>
      <c r="J129" s="4">
        <v>2</v>
      </c>
      <c r="K129" s="5">
        <v>13</v>
      </c>
      <c r="L129" s="4" t="s">
        <v>15</v>
      </c>
      <c r="M129" s="4" t="s">
        <v>44</v>
      </c>
      <c r="N129" s="5">
        <v>26</v>
      </c>
    </row>
    <row r="130" spans="1:14">
      <c r="A130" t="s">
        <v>291</v>
      </c>
      <c r="B130" s="4" t="s">
        <v>283</v>
      </c>
      <c r="C130" s="4">
        <f t="shared" si="4"/>
        <v>2026</v>
      </c>
      <c r="D130" s="4" t="str">
        <f t="shared" si="5"/>
        <v>August</v>
      </c>
      <c r="E130" s="4" t="str">
        <f t="shared" si="6"/>
        <v>Tuesday</v>
      </c>
      <c r="F130" s="4" t="s">
        <v>292</v>
      </c>
      <c r="G130" s="4">
        <f t="shared" si="7"/>
        <v>9</v>
      </c>
      <c r="H130" s="4" t="s">
        <v>51</v>
      </c>
      <c r="I130" s="4" t="s">
        <v>14</v>
      </c>
      <c r="J130" s="4">
        <v>1</v>
      </c>
      <c r="K130" s="5">
        <v>7</v>
      </c>
      <c r="L130" s="4" t="s">
        <v>26</v>
      </c>
      <c r="M130" s="4" t="s">
        <v>44</v>
      </c>
      <c r="N130" s="5">
        <v>7</v>
      </c>
    </row>
    <row r="131" spans="1:14">
      <c r="A131" t="s">
        <v>293</v>
      </c>
      <c r="B131" s="4" t="s">
        <v>283</v>
      </c>
      <c r="C131" s="4">
        <f t="shared" ref="C131:C194" si="8">YEAR(B131)</f>
        <v>2026</v>
      </c>
      <c r="D131" s="4" t="str">
        <f t="shared" ref="D131:D194" si="9">TEXT(B131,"mmmm")</f>
        <v>August</v>
      </c>
      <c r="E131" s="4" t="str">
        <f t="shared" ref="E131:E194" si="10">TEXT(B131,"dddd")</f>
        <v>Tuesday</v>
      </c>
      <c r="F131" s="4" t="s">
        <v>294</v>
      </c>
      <c r="G131" s="4">
        <f t="shared" ref="G131:G194" si="11">HOUR(F131)</f>
        <v>9</v>
      </c>
      <c r="H131" s="4" t="s">
        <v>115</v>
      </c>
      <c r="I131" s="4" t="s">
        <v>63</v>
      </c>
      <c r="J131" s="4">
        <v>1</v>
      </c>
      <c r="K131" s="5">
        <v>16</v>
      </c>
      <c r="L131" s="4" t="s">
        <v>26</v>
      </c>
      <c r="M131" s="4" t="s">
        <v>44</v>
      </c>
      <c r="N131" s="5">
        <v>16</v>
      </c>
    </row>
    <row r="132" spans="1:14">
      <c r="A132" t="s">
        <v>295</v>
      </c>
      <c r="B132" s="4" t="s">
        <v>283</v>
      </c>
      <c r="C132" s="4">
        <f t="shared" si="8"/>
        <v>2026</v>
      </c>
      <c r="D132" s="4" t="str">
        <f t="shared" si="9"/>
        <v>August</v>
      </c>
      <c r="E132" s="4" t="str">
        <f t="shared" si="10"/>
        <v>Tuesday</v>
      </c>
      <c r="F132" s="4" t="s">
        <v>296</v>
      </c>
      <c r="G132" s="4">
        <f t="shared" si="11"/>
        <v>9</v>
      </c>
      <c r="H132" s="4" t="s">
        <v>38</v>
      </c>
      <c r="I132" s="4" t="s">
        <v>14</v>
      </c>
      <c r="J132" s="4">
        <v>1</v>
      </c>
      <c r="K132" s="5">
        <v>9</v>
      </c>
      <c r="L132" s="4" t="s">
        <v>15</v>
      </c>
      <c r="M132" s="4" t="s">
        <v>44</v>
      </c>
      <c r="N132" s="5">
        <v>9</v>
      </c>
    </row>
    <row r="133" spans="1:14">
      <c r="A133" t="s">
        <v>297</v>
      </c>
      <c r="B133" s="4" t="s">
        <v>283</v>
      </c>
      <c r="C133" s="4">
        <f t="shared" si="8"/>
        <v>2026</v>
      </c>
      <c r="D133" s="4" t="str">
        <f t="shared" si="9"/>
        <v>August</v>
      </c>
      <c r="E133" s="4" t="str">
        <f t="shared" si="10"/>
        <v>Tuesday</v>
      </c>
      <c r="F133" s="4" t="s">
        <v>298</v>
      </c>
      <c r="G133" s="4">
        <f t="shared" si="11"/>
        <v>11</v>
      </c>
      <c r="H133" s="4" t="s">
        <v>54</v>
      </c>
      <c r="I133" s="4" t="s">
        <v>30</v>
      </c>
      <c r="J133" s="4">
        <v>2</v>
      </c>
      <c r="K133" s="5">
        <v>8</v>
      </c>
      <c r="L133" s="4" t="s">
        <v>15</v>
      </c>
      <c r="M133" s="4" t="s">
        <v>44</v>
      </c>
      <c r="N133" s="5">
        <v>16</v>
      </c>
    </row>
    <row r="134" spans="1:14">
      <c r="A134" t="s">
        <v>299</v>
      </c>
      <c r="B134" s="4" t="s">
        <v>283</v>
      </c>
      <c r="C134" s="4">
        <f t="shared" si="8"/>
        <v>2026</v>
      </c>
      <c r="D134" s="4" t="str">
        <f t="shared" si="9"/>
        <v>August</v>
      </c>
      <c r="E134" s="4" t="str">
        <f t="shared" si="10"/>
        <v>Tuesday</v>
      </c>
      <c r="F134" s="4" t="s">
        <v>239</v>
      </c>
      <c r="G134" s="4">
        <f t="shared" si="11"/>
        <v>12</v>
      </c>
      <c r="H134" s="4" t="s">
        <v>21</v>
      </c>
      <c r="I134" s="4" t="s">
        <v>14</v>
      </c>
      <c r="J134" s="4">
        <v>1</v>
      </c>
      <c r="K134" s="5">
        <v>12</v>
      </c>
      <c r="L134" s="4" t="s">
        <v>41</v>
      </c>
      <c r="M134" s="4" t="s">
        <v>16</v>
      </c>
      <c r="N134" s="5">
        <v>12</v>
      </c>
    </row>
    <row r="135" spans="1:14">
      <c r="A135" t="s">
        <v>300</v>
      </c>
      <c r="B135" s="4" t="s">
        <v>283</v>
      </c>
      <c r="C135" s="4">
        <f t="shared" si="8"/>
        <v>2026</v>
      </c>
      <c r="D135" s="4" t="str">
        <f t="shared" si="9"/>
        <v>August</v>
      </c>
      <c r="E135" s="4" t="str">
        <f t="shared" si="10"/>
        <v>Tuesday</v>
      </c>
      <c r="F135" s="4" t="s">
        <v>301</v>
      </c>
      <c r="G135" s="4">
        <f t="shared" si="11"/>
        <v>12</v>
      </c>
      <c r="H135" s="4" t="s">
        <v>35</v>
      </c>
      <c r="I135" s="4" t="s">
        <v>14</v>
      </c>
      <c r="J135" s="4">
        <v>3</v>
      </c>
      <c r="K135" s="5">
        <v>13</v>
      </c>
      <c r="L135" s="4" t="s">
        <v>26</v>
      </c>
      <c r="M135" s="4" t="s">
        <v>16</v>
      </c>
      <c r="N135" s="5">
        <v>39</v>
      </c>
    </row>
    <row r="136" spans="1:14">
      <c r="A136" t="s">
        <v>302</v>
      </c>
      <c r="B136" s="4" t="s">
        <v>283</v>
      </c>
      <c r="C136" s="4">
        <f t="shared" si="8"/>
        <v>2026</v>
      </c>
      <c r="D136" s="4" t="str">
        <f t="shared" si="9"/>
        <v>August</v>
      </c>
      <c r="E136" s="4" t="str">
        <f t="shared" si="10"/>
        <v>Tuesday</v>
      </c>
      <c r="F136" s="4" t="s">
        <v>303</v>
      </c>
      <c r="G136" s="4">
        <f t="shared" si="11"/>
        <v>13</v>
      </c>
      <c r="H136" s="4" t="s">
        <v>38</v>
      </c>
      <c r="I136" s="4" t="s">
        <v>14</v>
      </c>
      <c r="J136" s="4">
        <v>2</v>
      </c>
      <c r="K136" s="5">
        <v>9</v>
      </c>
      <c r="L136" s="4" t="s">
        <v>26</v>
      </c>
      <c r="M136" s="4" t="s">
        <v>16</v>
      </c>
      <c r="N136" s="5">
        <v>18</v>
      </c>
    </row>
    <row r="137" spans="1:14">
      <c r="A137" t="s">
        <v>304</v>
      </c>
      <c r="B137" s="4" t="s">
        <v>283</v>
      </c>
      <c r="C137" s="4">
        <f t="shared" si="8"/>
        <v>2026</v>
      </c>
      <c r="D137" s="4" t="str">
        <f t="shared" si="9"/>
        <v>August</v>
      </c>
      <c r="E137" s="4" t="str">
        <f t="shared" si="10"/>
        <v>Tuesday</v>
      </c>
      <c r="F137" s="4" t="s">
        <v>265</v>
      </c>
      <c r="G137" s="4">
        <f t="shared" si="11"/>
        <v>14</v>
      </c>
      <c r="H137" s="4" t="s">
        <v>54</v>
      </c>
      <c r="I137" s="4" t="s">
        <v>30</v>
      </c>
      <c r="J137" s="4">
        <v>1</v>
      </c>
      <c r="K137" s="5">
        <v>8</v>
      </c>
      <c r="L137" s="4" t="s">
        <v>26</v>
      </c>
      <c r="M137" s="4" t="s">
        <v>44</v>
      </c>
      <c r="N137" s="5">
        <v>8</v>
      </c>
    </row>
    <row r="138" spans="1:14">
      <c r="A138" t="s">
        <v>305</v>
      </c>
      <c r="B138" s="4" t="s">
        <v>283</v>
      </c>
      <c r="C138" s="4">
        <f t="shared" si="8"/>
        <v>2026</v>
      </c>
      <c r="D138" s="4" t="str">
        <f t="shared" si="9"/>
        <v>August</v>
      </c>
      <c r="E138" s="4" t="str">
        <f t="shared" si="10"/>
        <v>Tuesday</v>
      </c>
      <c r="F138" s="4" t="s">
        <v>123</v>
      </c>
      <c r="G138" s="4">
        <f t="shared" si="11"/>
        <v>14</v>
      </c>
      <c r="H138" s="4" t="s">
        <v>62</v>
      </c>
      <c r="I138" s="4" t="s">
        <v>63</v>
      </c>
      <c r="J138" s="4">
        <v>1</v>
      </c>
      <c r="K138" s="5">
        <v>10</v>
      </c>
      <c r="L138" s="4" t="s">
        <v>15</v>
      </c>
      <c r="M138" s="4" t="s">
        <v>16</v>
      </c>
      <c r="N138" s="5">
        <v>10</v>
      </c>
    </row>
    <row r="139" spans="1:14">
      <c r="A139" t="s">
        <v>306</v>
      </c>
      <c r="B139" s="4" t="s">
        <v>283</v>
      </c>
      <c r="C139" s="4">
        <f t="shared" si="8"/>
        <v>2026</v>
      </c>
      <c r="D139" s="4" t="str">
        <f t="shared" si="9"/>
        <v>August</v>
      </c>
      <c r="E139" s="4" t="str">
        <f t="shared" si="10"/>
        <v>Tuesday</v>
      </c>
      <c r="F139" s="4" t="s">
        <v>307</v>
      </c>
      <c r="G139" s="4">
        <f t="shared" si="11"/>
        <v>14</v>
      </c>
      <c r="H139" s="4" t="s">
        <v>38</v>
      </c>
      <c r="I139" s="4" t="s">
        <v>14</v>
      </c>
      <c r="J139" s="4">
        <v>1</v>
      </c>
      <c r="K139" s="5">
        <v>9</v>
      </c>
      <c r="L139" s="4" t="s">
        <v>15</v>
      </c>
      <c r="M139" s="4" t="s">
        <v>16</v>
      </c>
      <c r="N139" s="5">
        <v>9</v>
      </c>
    </row>
    <row r="140" spans="1:14">
      <c r="A140" t="s">
        <v>308</v>
      </c>
      <c r="B140" s="4" t="s">
        <v>283</v>
      </c>
      <c r="C140" s="4">
        <f t="shared" si="8"/>
        <v>2026</v>
      </c>
      <c r="D140" s="4" t="str">
        <f t="shared" si="9"/>
        <v>August</v>
      </c>
      <c r="E140" s="4" t="str">
        <f t="shared" si="10"/>
        <v>Tuesday</v>
      </c>
      <c r="F140" s="4" t="s">
        <v>185</v>
      </c>
      <c r="G140" s="4">
        <f t="shared" si="11"/>
        <v>15</v>
      </c>
      <c r="H140" s="4" t="s">
        <v>35</v>
      </c>
      <c r="I140" s="4" t="s">
        <v>14</v>
      </c>
      <c r="J140" s="4">
        <v>2</v>
      </c>
      <c r="K140" s="5">
        <v>13</v>
      </c>
      <c r="L140" s="4" t="s">
        <v>15</v>
      </c>
      <c r="M140" s="4" t="s">
        <v>16</v>
      </c>
      <c r="N140" s="5">
        <v>26</v>
      </c>
    </row>
    <row r="141" spans="1:14">
      <c r="A141" t="s">
        <v>309</v>
      </c>
      <c r="B141" s="4" t="s">
        <v>283</v>
      </c>
      <c r="C141" s="4">
        <f t="shared" si="8"/>
        <v>2026</v>
      </c>
      <c r="D141" s="4" t="str">
        <f t="shared" si="9"/>
        <v>August</v>
      </c>
      <c r="E141" s="4" t="str">
        <f t="shared" si="10"/>
        <v>Tuesday</v>
      </c>
      <c r="F141" s="4" t="s">
        <v>310</v>
      </c>
      <c r="G141" s="4">
        <f t="shared" si="11"/>
        <v>15</v>
      </c>
      <c r="H141" s="4" t="s">
        <v>21</v>
      </c>
      <c r="I141" s="4" t="s">
        <v>14</v>
      </c>
      <c r="J141" s="4">
        <v>1</v>
      </c>
      <c r="K141" s="5">
        <v>12</v>
      </c>
      <c r="L141" s="4" t="s">
        <v>41</v>
      </c>
      <c r="M141" s="4" t="s">
        <v>16</v>
      </c>
      <c r="N141" s="5">
        <v>12</v>
      </c>
    </row>
    <row r="142" spans="1:14">
      <c r="A142" t="s">
        <v>311</v>
      </c>
      <c r="B142" s="4" t="s">
        <v>283</v>
      </c>
      <c r="C142" s="4">
        <f t="shared" si="8"/>
        <v>2026</v>
      </c>
      <c r="D142" s="4" t="str">
        <f t="shared" si="9"/>
        <v>August</v>
      </c>
      <c r="E142" s="4" t="str">
        <f t="shared" si="10"/>
        <v>Tuesday</v>
      </c>
      <c r="F142" s="4" t="s">
        <v>312</v>
      </c>
      <c r="G142" s="4">
        <f t="shared" si="11"/>
        <v>18</v>
      </c>
      <c r="H142" s="4" t="s">
        <v>54</v>
      </c>
      <c r="I142" s="4" t="s">
        <v>30</v>
      </c>
      <c r="J142" s="4">
        <v>1</v>
      </c>
      <c r="K142" s="5">
        <v>8</v>
      </c>
      <c r="L142" s="4" t="s">
        <v>26</v>
      </c>
      <c r="M142" s="4" t="s">
        <v>44</v>
      </c>
      <c r="N142" s="5">
        <v>8</v>
      </c>
    </row>
    <row r="143" spans="1:14">
      <c r="A143" t="s">
        <v>313</v>
      </c>
      <c r="B143" s="4" t="s">
        <v>314</v>
      </c>
      <c r="C143" s="4">
        <f t="shared" si="8"/>
        <v>2026</v>
      </c>
      <c r="D143" s="4" t="str">
        <f t="shared" si="9"/>
        <v>August</v>
      </c>
      <c r="E143" s="4" t="str">
        <f t="shared" si="10"/>
        <v>Wednesday</v>
      </c>
      <c r="F143" s="4" t="s">
        <v>315</v>
      </c>
      <c r="G143" s="4">
        <f t="shared" si="11"/>
        <v>8</v>
      </c>
      <c r="H143" s="4" t="s">
        <v>62</v>
      </c>
      <c r="I143" s="4" t="s">
        <v>63</v>
      </c>
      <c r="J143" s="4">
        <v>1</v>
      </c>
      <c r="K143" s="5">
        <v>10</v>
      </c>
      <c r="L143" s="4" t="s">
        <v>26</v>
      </c>
      <c r="M143" s="4" t="s">
        <v>44</v>
      </c>
      <c r="N143" s="5">
        <v>10</v>
      </c>
    </row>
    <row r="144" spans="1:14">
      <c r="A144" t="s">
        <v>316</v>
      </c>
      <c r="B144" s="4" t="s">
        <v>314</v>
      </c>
      <c r="C144" s="4">
        <f t="shared" si="8"/>
        <v>2026</v>
      </c>
      <c r="D144" s="4" t="str">
        <f t="shared" si="9"/>
        <v>August</v>
      </c>
      <c r="E144" s="4" t="str">
        <f t="shared" si="10"/>
        <v>Wednesday</v>
      </c>
      <c r="F144" s="4" t="s">
        <v>174</v>
      </c>
      <c r="G144" s="4">
        <f t="shared" si="11"/>
        <v>10</v>
      </c>
      <c r="H144" s="4" t="s">
        <v>115</v>
      </c>
      <c r="I144" s="4" t="s">
        <v>63</v>
      </c>
      <c r="J144" s="4">
        <v>2</v>
      </c>
      <c r="K144" s="5">
        <v>16</v>
      </c>
      <c r="L144" s="4" t="s">
        <v>41</v>
      </c>
      <c r="M144" s="4" t="s">
        <v>44</v>
      </c>
      <c r="N144" s="5">
        <v>32</v>
      </c>
    </row>
    <row r="145" spans="1:14">
      <c r="A145" t="s">
        <v>317</v>
      </c>
      <c r="B145" s="4" t="s">
        <v>314</v>
      </c>
      <c r="C145" s="4">
        <f t="shared" si="8"/>
        <v>2026</v>
      </c>
      <c r="D145" s="4" t="str">
        <f t="shared" si="9"/>
        <v>August</v>
      </c>
      <c r="E145" s="4" t="str">
        <f t="shared" si="10"/>
        <v>Wednesday</v>
      </c>
      <c r="F145" s="4" t="s">
        <v>218</v>
      </c>
      <c r="G145" s="4">
        <f t="shared" si="11"/>
        <v>10</v>
      </c>
      <c r="H145" s="4" t="s">
        <v>13</v>
      </c>
      <c r="I145" s="4" t="s">
        <v>14</v>
      </c>
      <c r="J145" s="4">
        <v>2</v>
      </c>
      <c r="K145" s="5">
        <v>15</v>
      </c>
      <c r="L145" s="4" t="s">
        <v>41</v>
      </c>
      <c r="M145" s="4" t="s">
        <v>16</v>
      </c>
      <c r="N145" s="5">
        <v>30</v>
      </c>
    </row>
    <row r="146" spans="1:14">
      <c r="A146" t="s">
        <v>318</v>
      </c>
      <c r="B146" s="4" t="s">
        <v>314</v>
      </c>
      <c r="C146" s="4">
        <f t="shared" si="8"/>
        <v>2026</v>
      </c>
      <c r="D146" s="4" t="str">
        <f t="shared" si="9"/>
        <v>August</v>
      </c>
      <c r="E146" s="4" t="str">
        <f t="shared" si="10"/>
        <v>Wednesday</v>
      </c>
      <c r="F146" s="4" t="s">
        <v>319</v>
      </c>
      <c r="G146" s="4">
        <f t="shared" si="11"/>
        <v>11</v>
      </c>
      <c r="H146" s="4" t="s">
        <v>35</v>
      </c>
      <c r="I146" s="4" t="s">
        <v>14</v>
      </c>
      <c r="J146" s="4">
        <v>3</v>
      </c>
      <c r="K146" s="5">
        <v>13</v>
      </c>
      <c r="L146" s="4" t="s">
        <v>15</v>
      </c>
      <c r="M146" s="4" t="s">
        <v>16</v>
      </c>
      <c r="N146" s="5">
        <v>39</v>
      </c>
    </row>
    <row r="147" spans="1:14">
      <c r="A147" t="s">
        <v>320</v>
      </c>
      <c r="B147" s="4" t="s">
        <v>314</v>
      </c>
      <c r="C147" s="4">
        <f t="shared" si="8"/>
        <v>2026</v>
      </c>
      <c r="D147" s="4" t="str">
        <f t="shared" si="9"/>
        <v>August</v>
      </c>
      <c r="E147" s="4" t="str">
        <f t="shared" si="10"/>
        <v>Wednesday</v>
      </c>
      <c r="F147" s="4" t="s">
        <v>321</v>
      </c>
      <c r="G147" s="4">
        <f t="shared" si="11"/>
        <v>15</v>
      </c>
      <c r="H147" s="4" t="s">
        <v>51</v>
      </c>
      <c r="I147" s="4" t="s">
        <v>14</v>
      </c>
      <c r="J147" s="4">
        <v>1</v>
      </c>
      <c r="K147" s="5">
        <v>7</v>
      </c>
      <c r="L147" s="4" t="s">
        <v>41</v>
      </c>
      <c r="M147" s="4" t="s">
        <v>44</v>
      </c>
      <c r="N147" s="5">
        <v>7</v>
      </c>
    </row>
    <row r="148" spans="1:14">
      <c r="A148" t="s">
        <v>322</v>
      </c>
      <c r="B148" s="4" t="s">
        <v>314</v>
      </c>
      <c r="C148" s="4">
        <f t="shared" si="8"/>
        <v>2026</v>
      </c>
      <c r="D148" s="4" t="str">
        <f t="shared" si="9"/>
        <v>August</v>
      </c>
      <c r="E148" s="4" t="str">
        <f t="shared" si="10"/>
        <v>Wednesday</v>
      </c>
      <c r="F148" s="4" t="s">
        <v>323</v>
      </c>
      <c r="G148" s="4">
        <f t="shared" si="11"/>
        <v>15</v>
      </c>
      <c r="H148" s="4" t="s">
        <v>35</v>
      </c>
      <c r="I148" s="4" t="s">
        <v>14</v>
      </c>
      <c r="J148" s="4">
        <v>1</v>
      </c>
      <c r="K148" s="5">
        <v>13</v>
      </c>
      <c r="L148" s="4" t="s">
        <v>15</v>
      </c>
      <c r="M148" s="4" t="s">
        <v>16</v>
      </c>
      <c r="N148" s="5">
        <v>13</v>
      </c>
    </row>
    <row r="149" spans="1:14">
      <c r="A149" t="s">
        <v>324</v>
      </c>
      <c r="B149" s="4" t="s">
        <v>314</v>
      </c>
      <c r="C149" s="4">
        <f t="shared" si="8"/>
        <v>2026</v>
      </c>
      <c r="D149" s="4" t="str">
        <f t="shared" si="9"/>
        <v>August</v>
      </c>
      <c r="E149" s="4" t="str">
        <f t="shared" si="10"/>
        <v>Wednesday</v>
      </c>
      <c r="F149" s="4" t="s">
        <v>325</v>
      </c>
      <c r="G149" s="4">
        <f t="shared" si="11"/>
        <v>16</v>
      </c>
      <c r="H149" s="4" t="s">
        <v>21</v>
      </c>
      <c r="I149" s="4" t="s">
        <v>14</v>
      </c>
      <c r="J149" s="4">
        <v>1</v>
      </c>
      <c r="K149" s="5">
        <v>9</v>
      </c>
      <c r="L149" s="4" t="s">
        <v>26</v>
      </c>
      <c r="M149" s="4" t="s">
        <v>44</v>
      </c>
      <c r="N149" s="5">
        <v>9</v>
      </c>
    </row>
    <row r="150" spans="1:14">
      <c r="A150" t="s">
        <v>327</v>
      </c>
      <c r="B150" s="4" t="s">
        <v>314</v>
      </c>
      <c r="C150" s="4">
        <f t="shared" si="8"/>
        <v>2026</v>
      </c>
      <c r="D150" s="4" t="str">
        <f t="shared" si="9"/>
        <v>August</v>
      </c>
      <c r="E150" s="4" t="str">
        <f t="shared" si="10"/>
        <v>Wednesday</v>
      </c>
      <c r="F150" s="4" t="s">
        <v>328</v>
      </c>
      <c r="G150" s="4">
        <f t="shared" si="11"/>
        <v>17</v>
      </c>
      <c r="H150" s="4" t="s">
        <v>72</v>
      </c>
      <c r="I150" s="4" t="s">
        <v>14</v>
      </c>
      <c r="J150" s="4">
        <v>2</v>
      </c>
      <c r="K150" s="5">
        <v>14</v>
      </c>
      <c r="L150" s="4" t="s">
        <v>15</v>
      </c>
      <c r="M150" s="4" t="s">
        <v>44</v>
      </c>
      <c r="N150" s="5">
        <v>28</v>
      </c>
    </row>
    <row r="151" spans="1:14">
      <c r="A151" t="s">
        <v>329</v>
      </c>
      <c r="B151" s="4" t="s">
        <v>314</v>
      </c>
      <c r="C151" s="4">
        <f t="shared" si="8"/>
        <v>2026</v>
      </c>
      <c r="D151" s="4" t="str">
        <f t="shared" si="9"/>
        <v>August</v>
      </c>
      <c r="E151" s="4" t="str">
        <f t="shared" si="10"/>
        <v>Wednesday</v>
      </c>
      <c r="F151" s="4" t="s">
        <v>330</v>
      </c>
      <c r="G151" s="4">
        <f t="shared" si="11"/>
        <v>19</v>
      </c>
      <c r="H151" s="4" t="s">
        <v>38</v>
      </c>
      <c r="I151" s="4" t="s">
        <v>14</v>
      </c>
      <c r="J151" s="4">
        <v>1</v>
      </c>
      <c r="K151" s="5">
        <v>9</v>
      </c>
      <c r="L151" s="4" t="s">
        <v>26</v>
      </c>
      <c r="M151" s="4" t="s">
        <v>16</v>
      </c>
      <c r="N151" s="5">
        <v>9</v>
      </c>
    </row>
    <row r="152" spans="1:14">
      <c r="A152" t="s">
        <v>332</v>
      </c>
      <c r="B152" s="4" t="s">
        <v>333</v>
      </c>
      <c r="C152" s="4">
        <f t="shared" si="8"/>
        <v>2026</v>
      </c>
      <c r="D152" s="4" t="str">
        <f t="shared" si="9"/>
        <v>August</v>
      </c>
      <c r="E152" s="4" t="str">
        <f t="shared" si="10"/>
        <v>Thursday</v>
      </c>
      <c r="F152" s="4" t="s">
        <v>263</v>
      </c>
      <c r="G152" s="4">
        <f t="shared" si="11"/>
        <v>13</v>
      </c>
      <c r="H152" s="4" t="s">
        <v>35</v>
      </c>
      <c r="I152" s="4" t="s">
        <v>14</v>
      </c>
      <c r="J152" s="4">
        <v>1</v>
      </c>
      <c r="K152" s="5">
        <v>13</v>
      </c>
      <c r="L152" s="4" t="s">
        <v>15</v>
      </c>
      <c r="M152" s="4" t="s">
        <v>44</v>
      </c>
      <c r="N152" s="5">
        <v>13</v>
      </c>
    </row>
    <row r="153" spans="1:14">
      <c r="A153" t="s">
        <v>334</v>
      </c>
      <c r="B153" s="4" t="s">
        <v>333</v>
      </c>
      <c r="C153" s="4">
        <f t="shared" si="8"/>
        <v>2026</v>
      </c>
      <c r="D153" s="4" t="str">
        <f t="shared" si="9"/>
        <v>August</v>
      </c>
      <c r="E153" s="4" t="str">
        <f t="shared" si="10"/>
        <v>Thursday</v>
      </c>
      <c r="F153" s="4" t="s">
        <v>263</v>
      </c>
      <c r="G153" s="4">
        <f t="shared" si="11"/>
        <v>13</v>
      </c>
      <c r="H153" s="4" t="s">
        <v>21</v>
      </c>
      <c r="I153" s="4" t="s">
        <v>14</v>
      </c>
      <c r="J153" s="4">
        <v>2</v>
      </c>
      <c r="K153" s="5">
        <v>12</v>
      </c>
      <c r="L153" s="4" t="s">
        <v>41</v>
      </c>
      <c r="M153" s="4" t="s">
        <v>44</v>
      </c>
      <c r="N153" s="5">
        <v>24</v>
      </c>
    </row>
    <row r="154" spans="1:14">
      <c r="A154" t="s">
        <v>335</v>
      </c>
      <c r="B154" s="4" t="s">
        <v>333</v>
      </c>
      <c r="C154" s="4">
        <f t="shared" si="8"/>
        <v>2026</v>
      </c>
      <c r="D154" s="4" t="str">
        <f t="shared" si="9"/>
        <v>August</v>
      </c>
      <c r="E154" s="4" t="str">
        <f t="shared" si="10"/>
        <v>Thursday</v>
      </c>
      <c r="F154" s="4" t="s">
        <v>336</v>
      </c>
      <c r="G154" s="4">
        <f t="shared" si="11"/>
        <v>15</v>
      </c>
      <c r="H154" s="4" t="s">
        <v>29</v>
      </c>
      <c r="I154" s="4" t="s">
        <v>30</v>
      </c>
      <c r="J154" s="4">
        <v>2</v>
      </c>
      <c r="K154" s="5">
        <v>9</v>
      </c>
      <c r="L154" s="4" t="s">
        <v>15</v>
      </c>
      <c r="M154" s="4" t="s">
        <v>44</v>
      </c>
      <c r="N154" s="5">
        <v>18</v>
      </c>
    </row>
    <row r="155" spans="1:14">
      <c r="A155" t="s">
        <v>337</v>
      </c>
      <c r="B155" s="4" t="s">
        <v>333</v>
      </c>
      <c r="C155" s="4">
        <f t="shared" si="8"/>
        <v>2026</v>
      </c>
      <c r="D155" s="4" t="str">
        <f t="shared" si="9"/>
        <v>August</v>
      </c>
      <c r="E155" s="4" t="str">
        <f t="shared" si="10"/>
        <v>Thursday</v>
      </c>
      <c r="F155" s="4" t="s">
        <v>336</v>
      </c>
      <c r="G155" s="4">
        <f t="shared" si="11"/>
        <v>15</v>
      </c>
      <c r="H155" s="4" t="s">
        <v>105</v>
      </c>
      <c r="I155" s="4" t="s">
        <v>25</v>
      </c>
      <c r="J155" s="4">
        <v>1</v>
      </c>
      <c r="K155" s="5">
        <v>12</v>
      </c>
      <c r="L155" s="4" t="s">
        <v>41</v>
      </c>
      <c r="M155" s="4" t="s">
        <v>44</v>
      </c>
      <c r="N155" s="5">
        <v>12</v>
      </c>
    </row>
    <row r="156" spans="1:14">
      <c r="A156" t="s">
        <v>338</v>
      </c>
      <c r="B156" s="4" t="s">
        <v>333</v>
      </c>
      <c r="C156" s="4">
        <f t="shared" si="8"/>
        <v>2026</v>
      </c>
      <c r="D156" s="4" t="str">
        <f t="shared" si="9"/>
        <v>August</v>
      </c>
      <c r="E156" s="4" t="str">
        <f t="shared" si="10"/>
        <v>Thursday</v>
      </c>
      <c r="F156" s="4" t="s">
        <v>339</v>
      </c>
      <c r="G156" s="4">
        <f t="shared" si="11"/>
        <v>15</v>
      </c>
      <c r="H156" s="4" t="s">
        <v>35</v>
      </c>
      <c r="I156" s="4" t="s">
        <v>14</v>
      </c>
      <c r="J156" s="4">
        <v>1</v>
      </c>
      <c r="K156" s="5">
        <v>13</v>
      </c>
      <c r="L156" s="4" t="s">
        <v>15</v>
      </c>
      <c r="M156" s="4" t="s">
        <v>16</v>
      </c>
      <c r="N156" s="5">
        <v>13</v>
      </c>
    </row>
    <row r="157" spans="1:14">
      <c r="A157" t="s">
        <v>340</v>
      </c>
      <c r="B157" s="4" t="s">
        <v>333</v>
      </c>
      <c r="C157" s="4">
        <f t="shared" si="8"/>
        <v>2026</v>
      </c>
      <c r="D157" s="4" t="str">
        <f t="shared" si="9"/>
        <v>August</v>
      </c>
      <c r="E157" s="4" t="str">
        <f t="shared" si="10"/>
        <v>Thursday</v>
      </c>
      <c r="F157" s="4" t="s">
        <v>46</v>
      </c>
      <c r="G157" s="4">
        <f t="shared" si="11"/>
        <v>16</v>
      </c>
      <c r="H157" s="4" t="s">
        <v>24</v>
      </c>
      <c r="I157" s="4" t="s">
        <v>25</v>
      </c>
      <c r="J157" s="4">
        <v>2</v>
      </c>
      <c r="K157" s="5">
        <v>14</v>
      </c>
      <c r="L157" s="4" t="s">
        <v>41</v>
      </c>
      <c r="M157" s="4" t="s">
        <v>44</v>
      </c>
      <c r="N157" s="5">
        <v>28</v>
      </c>
    </row>
    <row r="158" spans="1:14">
      <c r="A158" t="s">
        <v>341</v>
      </c>
      <c r="B158" s="4" t="s">
        <v>333</v>
      </c>
      <c r="C158" s="4">
        <f t="shared" si="8"/>
        <v>2026</v>
      </c>
      <c r="D158" s="4" t="str">
        <f t="shared" si="9"/>
        <v>August</v>
      </c>
      <c r="E158" s="4" t="str">
        <f t="shared" si="10"/>
        <v>Thursday</v>
      </c>
      <c r="F158" s="4" t="s">
        <v>342</v>
      </c>
      <c r="G158" s="4">
        <f t="shared" si="11"/>
        <v>17</v>
      </c>
      <c r="H158" s="4" t="s">
        <v>38</v>
      </c>
      <c r="I158" s="4" t="s">
        <v>14</v>
      </c>
      <c r="J158" s="4">
        <v>2</v>
      </c>
      <c r="K158" s="5">
        <v>9</v>
      </c>
      <c r="L158" s="4" t="s">
        <v>26</v>
      </c>
      <c r="M158" s="4" t="s">
        <v>44</v>
      </c>
      <c r="N158" s="5">
        <v>18</v>
      </c>
    </row>
    <row r="159" spans="1:14">
      <c r="A159" t="s">
        <v>343</v>
      </c>
      <c r="B159" s="4" t="s">
        <v>344</v>
      </c>
      <c r="C159" s="4">
        <f t="shared" si="8"/>
        <v>2026</v>
      </c>
      <c r="D159" s="4" t="str">
        <f t="shared" si="9"/>
        <v>August</v>
      </c>
      <c r="E159" s="4" t="str">
        <f t="shared" si="10"/>
        <v>Friday</v>
      </c>
      <c r="F159" s="4" t="s">
        <v>345</v>
      </c>
      <c r="G159" s="4">
        <f t="shared" si="11"/>
        <v>9</v>
      </c>
      <c r="H159" s="4" t="s">
        <v>35</v>
      </c>
      <c r="I159" s="4" t="s">
        <v>14</v>
      </c>
      <c r="J159" s="4">
        <v>1</v>
      </c>
      <c r="K159" s="5">
        <v>13</v>
      </c>
      <c r="L159" s="4" t="s">
        <v>26</v>
      </c>
      <c r="M159" s="4" t="s">
        <v>16</v>
      </c>
      <c r="N159" s="5">
        <v>13</v>
      </c>
    </row>
    <row r="160" spans="1:14">
      <c r="A160" t="s">
        <v>346</v>
      </c>
      <c r="B160" s="4" t="s">
        <v>344</v>
      </c>
      <c r="C160" s="4">
        <f t="shared" si="8"/>
        <v>2026</v>
      </c>
      <c r="D160" s="4" t="str">
        <f t="shared" si="9"/>
        <v>August</v>
      </c>
      <c r="E160" s="4" t="str">
        <f t="shared" si="10"/>
        <v>Friday</v>
      </c>
      <c r="F160" s="4" t="s">
        <v>347</v>
      </c>
      <c r="G160" s="4">
        <f t="shared" si="11"/>
        <v>9</v>
      </c>
      <c r="H160" s="4" t="s">
        <v>35</v>
      </c>
      <c r="I160" s="4" t="s">
        <v>14</v>
      </c>
      <c r="J160" s="4">
        <v>2</v>
      </c>
      <c r="K160" s="5">
        <v>13</v>
      </c>
      <c r="L160" s="4" t="s">
        <v>15</v>
      </c>
      <c r="M160" s="4" t="s">
        <v>44</v>
      </c>
      <c r="N160" s="5">
        <v>26</v>
      </c>
    </row>
    <row r="161" spans="1:14">
      <c r="A161" t="s">
        <v>348</v>
      </c>
      <c r="B161" s="4" t="s">
        <v>344</v>
      </c>
      <c r="C161" s="4">
        <f t="shared" si="8"/>
        <v>2026</v>
      </c>
      <c r="D161" s="4" t="str">
        <f t="shared" si="9"/>
        <v>August</v>
      </c>
      <c r="E161" s="4" t="str">
        <f t="shared" si="10"/>
        <v>Friday</v>
      </c>
      <c r="F161" s="4" t="s">
        <v>349</v>
      </c>
      <c r="G161" s="4">
        <f t="shared" si="11"/>
        <v>10</v>
      </c>
      <c r="H161" s="4" t="s">
        <v>51</v>
      </c>
      <c r="I161" s="4" t="s">
        <v>14</v>
      </c>
      <c r="J161" s="4">
        <v>1</v>
      </c>
      <c r="K161" s="5">
        <v>7</v>
      </c>
      <c r="L161" s="4" t="s">
        <v>41</v>
      </c>
      <c r="M161" s="4" t="s">
        <v>16</v>
      </c>
      <c r="N161" s="5">
        <v>7</v>
      </c>
    </row>
    <row r="162" spans="1:14">
      <c r="A162" t="s">
        <v>350</v>
      </c>
      <c r="B162" s="4" t="s">
        <v>344</v>
      </c>
      <c r="C162" s="4">
        <f t="shared" si="8"/>
        <v>2026</v>
      </c>
      <c r="D162" s="4" t="str">
        <f t="shared" si="9"/>
        <v>August</v>
      </c>
      <c r="E162" s="4" t="str">
        <f t="shared" si="10"/>
        <v>Friday</v>
      </c>
      <c r="F162" s="4" t="s">
        <v>199</v>
      </c>
      <c r="G162" s="4">
        <f t="shared" si="11"/>
        <v>10</v>
      </c>
      <c r="H162" s="4" t="s">
        <v>105</v>
      </c>
      <c r="I162" s="4" t="s">
        <v>25</v>
      </c>
      <c r="J162" s="4">
        <v>2</v>
      </c>
      <c r="K162" s="5">
        <v>12</v>
      </c>
      <c r="L162" s="4" t="s">
        <v>41</v>
      </c>
      <c r="M162" s="4" t="s">
        <v>16</v>
      </c>
      <c r="N162" s="5">
        <v>24</v>
      </c>
    </row>
    <row r="163" spans="1:14">
      <c r="A163" t="s">
        <v>351</v>
      </c>
      <c r="B163" s="4" t="s">
        <v>344</v>
      </c>
      <c r="C163" s="4">
        <f t="shared" si="8"/>
        <v>2026</v>
      </c>
      <c r="D163" s="4" t="str">
        <f t="shared" si="9"/>
        <v>August</v>
      </c>
      <c r="E163" s="4" t="str">
        <f t="shared" si="10"/>
        <v>Friday</v>
      </c>
      <c r="F163" s="4" t="s">
        <v>352</v>
      </c>
      <c r="G163" s="4">
        <f t="shared" si="11"/>
        <v>11</v>
      </c>
      <c r="H163" s="4" t="s">
        <v>72</v>
      </c>
      <c r="I163" s="4" t="s">
        <v>14</v>
      </c>
      <c r="J163" s="4">
        <v>1</v>
      </c>
      <c r="K163" s="5">
        <v>14</v>
      </c>
      <c r="L163" s="4" t="s">
        <v>26</v>
      </c>
      <c r="M163" s="4" t="s">
        <v>44</v>
      </c>
      <c r="N163" s="5">
        <v>14</v>
      </c>
    </row>
    <row r="164" spans="1:14">
      <c r="A164" t="s">
        <v>353</v>
      </c>
      <c r="B164" s="4" t="s">
        <v>344</v>
      </c>
      <c r="C164" s="4">
        <f t="shared" si="8"/>
        <v>2026</v>
      </c>
      <c r="D164" s="4" t="str">
        <f t="shared" si="9"/>
        <v>August</v>
      </c>
      <c r="E164" s="4" t="str">
        <f t="shared" si="10"/>
        <v>Friday</v>
      </c>
      <c r="F164" s="4" t="s">
        <v>354</v>
      </c>
      <c r="G164" s="4">
        <f t="shared" si="11"/>
        <v>12</v>
      </c>
      <c r="H164" s="4" t="s">
        <v>38</v>
      </c>
      <c r="I164" s="4" t="s">
        <v>14</v>
      </c>
      <c r="J164" s="4">
        <v>1</v>
      </c>
      <c r="K164" s="5">
        <v>9</v>
      </c>
      <c r="L164" s="4" t="s">
        <v>26</v>
      </c>
      <c r="M164" s="4" t="s">
        <v>16</v>
      </c>
      <c r="N164" s="5">
        <v>9</v>
      </c>
    </row>
    <row r="165" spans="1:14">
      <c r="A165" t="s">
        <v>355</v>
      </c>
      <c r="B165" s="4" t="s">
        <v>344</v>
      </c>
      <c r="C165" s="4">
        <f t="shared" si="8"/>
        <v>2026</v>
      </c>
      <c r="D165" s="4" t="str">
        <f t="shared" si="9"/>
        <v>August</v>
      </c>
      <c r="E165" s="4" t="str">
        <f t="shared" si="10"/>
        <v>Friday</v>
      </c>
      <c r="F165" s="4" t="s">
        <v>356</v>
      </c>
      <c r="G165" s="4">
        <f t="shared" si="11"/>
        <v>14</v>
      </c>
      <c r="H165" s="4" t="s">
        <v>62</v>
      </c>
      <c r="I165" s="4" t="s">
        <v>63</v>
      </c>
      <c r="J165" s="4">
        <v>3</v>
      </c>
      <c r="K165" s="5">
        <v>10</v>
      </c>
      <c r="L165" s="4" t="s">
        <v>26</v>
      </c>
      <c r="M165" s="4" t="s">
        <v>16</v>
      </c>
      <c r="N165" s="5">
        <v>30</v>
      </c>
    </row>
    <row r="166" spans="1:14">
      <c r="A166" t="s">
        <v>357</v>
      </c>
      <c r="B166" s="4" t="s">
        <v>344</v>
      </c>
      <c r="C166" s="4">
        <f t="shared" si="8"/>
        <v>2026</v>
      </c>
      <c r="D166" s="4" t="str">
        <f t="shared" si="9"/>
        <v>August</v>
      </c>
      <c r="E166" s="4" t="str">
        <f t="shared" si="10"/>
        <v>Friday</v>
      </c>
      <c r="F166" s="4" t="s">
        <v>358</v>
      </c>
      <c r="G166" s="4">
        <f t="shared" si="11"/>
        <v>14</v>
      </c>
      <c r="H166" s="4" t="s">
        <v>51</v>
      </c>
      <c r="I166" s="4" t="s">
        <v>14</v>
      </c>
      <c r="J166" s="4">
        <v>1</v>
      </c>
      <c r="K166" s="5">
        <v>7</v>
      </c>
      <c r="L166" s="4" t="s">
        <v>26</v>
      </c>
      <c r="M166" s="4" t="s">
        <v>16</v>
      </c>
      <c r="N166" s="5">
        <v>7</v>
      </c>
    </row>
    <row r="167" spans="1:14">
      <c r="A167" t="s">
        <v>359</v>
      </c>
      <c r="B167" s="4" t="s">
        <v>344</v>
      </c>
      <c r="C167" s="4">
        <f t="shared" si="8"/>
        <v>2026</v>
      </c>
      <c r="D167" s="4" t="str">
        <f t="shared" si="9"/>
        <v>August</v>
      </c>
      <c r="E167" s="4" t="str">
        <f t="shared" si="10"/>
        <v>Friday</v>
      </c>
      <c r="F167" s="4" t="s">
        <v>360</v>
      </c>
      <c r="G167" s="4">
        <f t="shared" si="11"/>
        <v>14</v>
      </c>
      <c r="H167" s="4" t="s">
        <v>24</v>
      </c>
      <c r="I167" s="4" t="s">
        <v>25</v>
      </c>
      <c r="J167" s="4">
        <v>1</v>
      </c>
      <c r="K167" s="5">
        <v>14</v>
      </c>
      <c r="L167" s="4" t="s">
        <v>15</v>
      </c>
      <c r="M167" s="4" t="s">
        <v>44</v>
      </c>
      <c r="N167" s="5">
        <v>14</v>
      </c>
    </row>
    <row r="168" spans="1:14">
      <c r="A168" t="s">
        <v>361</v>
      </c>
      <c r="B168" s="4" t="s">
        <v>344</v>
      </c>
      <c r="C168" s="4">
        <f t="shared" si="8"/>
        <v>2026</v>
      </c>
      <c r="D168" s="4" t="str">
        <f t="shared" si="9"/>
        <v>August</v>
      </c>
      <c r="E168" s="4" t="str">
        <f t="shared" si="10"/>
        <v>Friday</v>
      </c>
      <c r="F168" s="4" t="s">
        <v>362</v>
      </c>
      <c r="G168" s="4">
        <f t="shared" si="11"/>
        <v>15</v>
      </c>
      <c r="H168" s="4" t="s">
        <v>105</v>
      </c>
      <c r="I168" s="4" t="s">
        <v>25</v>
      </c>
      <c r="J168" s="4">
        <v>1</v>
      </c>
      <c r="K168" s="5">
        <v>12</v>
      </c>
      <c r="L168" s="4" t="s">
        <v>26</v>
      </c>
      <c r="M168" s="4" t="s">
        <v>44</v>
      </c>
      <c r="N168" s="5">
        <v>12</v>
      </c>
    </row>
    <row r="169" spans="1:14">
      <c r="A169" t="s">
        <v>363</v>
      </c>
      <c r="B169" s="4" t="s">
        <v>344</v>
      </c>
      <c r="C169" s="4">
        <f t="shared" si="8"/>
        <v>2026</v>
      </c>
      <c r="D169" s="4" t="str">
        <f t="shared" si="9"/>
        <v>August</v>
      </c>
      <c r="E169" s="4" t="str">
        <f t="shared" si="10"/>
        <v>Friday</v>
      </c>
      <c r="F169" s="4" t="s">
        <v>364</v>
      </c>
      <c r="G169" s="4">
        <f t="shared" si="11"/>
        <v>15</v>
      </c>
      <c r="H169" s="4" t="s">
        <v>38</v>
      </c>
      <c r="I169" s="4" t="s">
        <v>14</v>
      </c>
      <c r="J169" s="4">
        <v>1</v>
      </c>
      <c r="K169" s="5">
        <v>9</v>
      </c>
      <c r="L169" s="4" t="s">
        <v>15</v>
      </c>
      <c r="M169" s="4" t="s">
        <v>44</v>
      </c>
      <c r="N169" s="5">
        <v>9</v>
      </c>
    </row>
    <row r="170" spans="1:14">
      <c r="A170" t="s">
        <v>365</v>
      </c>
      <c r="B170" s="4" t="s">
        <v>344</v>
      </c>
      <c r="C170" s="4">
        <f t="shared" si="8"/>
        <v>2026</v>
      </c>
      <c r="D170" s="4" t="str">
        <f t="shared" si="9"/>
        <v>August</v>
      </c>
      <c r="E170" s="4" t="str">
        <f t="shared" si="10"/>
        <v>Friday</v>
      </c>
      <c r="F170" s="4" t="s">
        <v>247</v>
      </c>
      <c r="G170" s="4">
        <f t="shared" si="11"/>
        <v>17</v>
      </c>
      <c r="H170" s="4" t="s">
        <v>54</v>
      </c>
      <c r="I170" s="4" t="s">
        <v>30</v>
      </c>
      <c r="J170" s="4">
        <v>1</v>
      </c>
      <c r="K170" s="5">
        <v>8</v>
      </c>
      <c r="L170" s="4" t="s">
        <v>26</v>
      </c>
      <c r="M170" s="4" t="s">
        <v>44</v>
      </c>
      <c r="N170" s="5">
        <v>8</v>
      </c>
    </row>
    <row r="171" spans="1:14">
      <c r="A171" t="s">
        <v>366</v>
      </c>
      <c r="B171" s="4" t="s">
        <v>367</v>
      </c>
      <c r="C171" s="4">
        <f t="shared" si="8"/>
        <v>2026</v>
      </c>
      <c r="D171" s="4" t="str">
        <f t="shared" si="9"/>
        <v>August</v>
      </c>
      <c r="E171" s="4" t="str">
        <f t="shared" si="10"/>
        <v>Saturday</v>
      </c>
      <c r="F171" s="4" t="s">
        <v>368</v>
      </c>
      <c r="G171" s="4">
        <f t="shared" si="11"/>
        <v>9</v>
      </c>
      <c r="H171" s="4" t="s">
        <v>21</v>
      </c>
      <c r="I171" s="4" t="s">
        <v>14</v>
      </c>
      <c r="J171" s="4">
        <v>2</v>
      </c>
      <c r="K171" s="5">
        <v>12</v>
      </c>
      <c r="L171" s="4" t="s">
        <v>26</v>
      </c>
      <c r="M171" s="4" t="s">
        <v>44</v>
      </c>
      <c r="N171" s="5">
        <v>24</v>
      </c>
    </row>
    <row r="172" spans="1:14">
      <c r="A172" t="s">
        <v>369</v>
      </c>
      <c r="B172" s="4" t="s">
        <v>367</v>
      </c>
      <c r="C172" s="4">
        <f t="shared" si="8"/>
        <v>2026</v>
      </c>
      <c r="D172" s="4" t="str">
        <f t="shared" si="9"/>
        <v>August</v>
      </c>
      <c r="E172" s="4" t="str">
        <f t="shared" si="10"/>
        <v>Saturday</v>
      </c>
      <c r="F172" s="4" t="s">
        <v>257</v>
      </c>
      <c r="G172" s="4">
        <f t="shared" si="11"/>
        <v>10</v>
      </c>
      <c r="H172" s="4" t="s">
        <v>35</v>
      </c>
      <c r="I172" s="4" t="s">
        <v>14</v>
      </c>
      <c r="J172" s="4">
        <v>1</v>
      </c>
      <c r="K172" s="5">
        <v>13</v>
      </c>
      <c r="L172" s="4" t="s">
        <v>26</v>
      </c>
      <c r="M172" s="4" t="s">
        <v>44</v>
      </c>
      <c r="N172" s="5">
        <v>13</v>
      </c>
    </row>
    <row r="173" spans="1:14">
      <c r="A173" t="s">
        <v>370</v>
      </c>
      <c r="B173" s="4" t="s">
        <v>367</v>
      </c>
      <c r="C173" s="4">
        <f t="shared" si="8"/>
        <v>2026</v>
      </c>
      <c r="D173" s="4" t="str">
        <f t="shared" si="9"/>
        <v>August</v>
      </c>
      <c r="E173" s="4" t="str">
        <f t="shared" si="10"/>
        <v>Saturday</v>
      </c>
      <c r="F173" s="4" t="s">
        <v>371</v>
      </c>
      <c r="G173" s="4">
        <f t="shared" si="11"/>
        <v>10</v>
      </c>
      <c r="H173" s="4" t="s">
        <v>62</v>
      </c>
      <c r="I173" s="4" t="s">
        <v>63</v>
      </c>
      <c r="J173" s="4">
        <v>4</v>
      </c>
      <c r="K173" s="5">
        <v>10</v>
      </c>
      <c r="L173" s="4" t="s">
        <v>26</v>
      </c>
      <c r="M173" s="4" t="s">
        <v>16</v>
      </c>
      <c r="N173" s="5">
        <v>40</v>
      </c>
    </row>
    <row r="174" spans="1:14">
      <c r="A174" t="s">
        <v>372</v>
      </c>
      <c r="B174" s="4" t="s">
        <v>367</v>
      </c>
      <c r="C174" s="4">
        <f t="shared" si="8"/>
        <v>2026</v>
      </c>
      <c r="D174" s="4" t="str">
        <f t="shared" si="9"/>
        <v>August</v>
      </c>
      <c r="E174" s="4" t="str">
        <f t="shared" si="10"/>
        <v>Saturday</v>
      </c>
      <c r="F174" s="4" t="s">
        <v>151</v>
      </c>
      <c r="G174" s="4">
        <f t="shared" si="11"/>
        <v>13</v>
      </c>
      <c r="H174" s="4" t="s">
        <v>51</v>
      </c>
      <c r="I174" s="4" t="s">
        <v>14</v>
      </c>
      <c r="J174" s="4">
        <v>1</v>
      </c>
      <c r="K174" s="5">
        <v>7</v>
      </c>
      <c r="L174" s="4" t="s">
        <v>26</v>
      </c>
      <c r="M174" s="4" t="s">
        <v>16</v>
      </c>
      <c r="N174" s="5">
        <v>7</v>
      </c>
    </row>
    <row r="175" spans="1:14">
      <c r="A175" t="s">
        <v>373</v>
      </c>
      <c r="B175" s="4" t="s">
        <v>367</v>
      </c>
      <c r="C175" s="4">
        <f t="shared" si="8"/>
        <v>2026</v>
      </c>
      <c r="D175" s="4" t="str">
        <f t="shared" si="9"/>
        <v>August</v>
      </c>
      <c r="E175" s="4" t="str">
        <f t="shared" si="10"/>
        <v>Saturday</v>
      </c>
      <c r="F175" s="4" t="s">
        <v>374</v>
      </c>
      <c r="G175" s="4">
        <f t="shared" si="11"/>
        <v>14</v>
      </c>
      <c r="H175" s="4" t="s">
        <v>72</v>
      </c>
      <c r="I175" s="4" t="s">
        <v>14</v>
      </c>
      <c r="J175" s="4">
        <v>2</v>
      </c>
      <c r="K175" s="5">
        <v>14</v>
      </c>
      <c r="L175" s="4" t="s">
        <v>41</v>
      </c>
      <c r="M175" s="4" t="s">
        <v>16</v>
      </c>
      <c r="N175" s="5">
        <v>28</v>
      </c>
    </row>
    <row r="176" spans="1:14">
      <c r="A176" t="s">
        <v>375</v>
      </c>
      <c r="B176" s="4" t="s">
        <v>367</v>
      </c>
      <c r="C176" s="4">
        <f t="shared" si="8"/>
        <v>2026</v>
      </c>
      <c r="D176" s="4" t="str">
        <f t="shared" si="9"/>
        <v>August</v>
      </c>
      <c r="E176" s="4" t="str">
        <f t="shared" si="10"/>
        <v>Saturday</v>
      </c>
      <c r="F176" s="4" t="s">
        <v>104</v>
      </c>
      <c r="G176" s="4">
        <f t="shared" si="11"/>
        <v>16</v>
      </c>
      <c r="H176" s="4" t="s">
        <v>13</v>
      </c>
      <c r="I176" s="4" t="s">
        <v>14</v>
      </c>
      <c r="J176" s="4">
        <v>2</v>
      </c>
      <c r="K176" s="5">
        <v>15</v>
      </c>
      <c r="L176" s="4" t="s">
        <v>26</v>
      </c>
      <c r="M176" s="4" t="s">
        <v>44</v>
      </c>
      <c r="N176" s="5">
        <v>30</v>
      </c>
    </row>
    <row r="177" spans="1:14">
      <c r="A177" t="s">
        <v>376</v>
      </c>
      <c r="B177" s="4" t="s">
        <v>367</v>
      </c>
      <c r="C177" s="4">
        <f t="shared" si="8"/>
        <v>2026</v>
      </c>
      <c r="D177" s="4" t="str">
        <f t="shared" si="9"/>
        <v>August</v>
      </c>
      <c r="E177" s="4" t="str">
        <f t="shared" si="10"/>
        <v>Saturday</v>
      </c>
      <c r="F177" s="4" t="s">
        <v>377</v>
      </c>
      <c r="G177" s="4">
        <f t="shared" si="11"/>
        <v>17</v>
      </c>
      <c r="H177" s="4" t="s">
        <v>105</v>
      </c>
      <c r="I177" s="4" t="s">
        <v>25</v>
      </c>
      <c r="J177" s="4">
        <v>2</v>
      </c>
      <c r="K177" s="5">
        <v>12</v>
      </c>
      <c r="L177" s="4" t="s">
        <v>26</v>
      </c>
      <c r="M177" s="4" t="s">
        <v>44</v>
      </c>
      <c r="N177" s="5">
        <v>24</v>
      </c>
    </row>
    <row r="178" spans="1:14">
      <c r="A178" t="s">
        <v>378</v>
      </c>
      <c r="B178" s="4" t="s">
        <v>367</v>
      </c>
      <c r="C178" s="4">
        <f t="shared" si="8"/>
        <v>2026</v>
      </c>
      <c r="D178" s="4" t="str">
        <f t="shared" si="9"/>
        <v>August</v>
      </c>
      <c r="E178" s="4" t="str">
        <f t="shared" si="10"/>
        <v>Saturday</v>
      </c>
      <c r="F178" s="4" t="s">
        <v>78</v>
      </c>
      <c r="G178" s="4">
        <f t="shared" si="11"/>
        <v>17</v>
      </c>
      <c r="H178" s="4" t="s">
        <v>62</v>
      </c>
      <c r="I178" s="4" t="s">
        <v>63</v>
      </c>
      <c r="J178" s="4">
        <v>1</v>
      </c>
      <c r="K178" s="5">
        <v>10</v>
      </c>
      <c r="L178" s="4" t="s">
        <v>26</v>
      </c>
      <c r="M178" s="4" t="s">
        <v>16</v>
      </c>
      <c r="N178" s="5">
        <v>10</v>
      </c>
    </row>
    <row r="179" spans="1:14">
      <c r="A179" t="s">
        <v>379</v>
      </c>
      <c r="B179" s="4" t="s">
        <v>367</v>
      </c>
      <c r="C179" s="4">
        <f t="shared" si="8"/>
        <v>2026</v>
      </c>
      <c r="D179" s="4" t="str">
        <f t="shared" si="9"/>
        <v>August</v>
      </c>
      <c r="E179" s="4" t="str">
        <f t="shared" si="10"/>
        <v>Saturday</v>
      </c>
      <c r="F179" s="4" t="s">
        <v>328</v>
      </c>
      <c r="G179" s="4">
        <f t="shared" si="11"/>
        <v>17</v>
      </c>
      <c r="H179" s="4" t="s">
        <v>62</v>
      </c>
      <c r="I179" s="4" t="s">
        <v>63</v>
      </c>
      <c r="J179" s="4">
        <v>1</v>
      </c>
      <c r="K179" s="5">
        <v>10</v>
      </c>
      <c r="L179" s="4" t="s">
        <v>26</v>
      </c>
      <c r="M179" s="4" t="s">
        <v>44</v>
      </c>
      <c r="N179" s="5">
        <v>10</v>
      </c>
    </row>
    <row r="180" spans="1:14">
      <c r="A180" t="s">
        <v>380</v>
      </c>
      <c r="B180" s="4" t="s">
        <v>367</v>
      </c>
      <c r="C180" s="4">
        <f t="shared" si="8"/>
        <v>2026</v>
      </c>
      <c r="D180" s="4" t="str">
        <f t="shared" si="9"/>
        <v>August</v>
      </c>
      <c r="E180" s="4" t="str">
        <f t="shared" si="10"/>
        <v>Saturday</v>
      </c>
      <c r="F180" s="4" t="s">
        <v>381</v>
      </c>
      <c r="G180" s="4">
        <f t="shared" si="11"/>
        <v>18</v>
      </c>
      <c r="H180" s="4" t="s">
        <v>35</v>
      </c>
      <c r="I180" s="4" t="s">
        <v>14</v>
      </c>
      <c r="J180" s="4">
        <v>1</v>
      </c>
      <c r="K180" s="5">
        <v>13</v>
      </c>
      <c r="L180" s="4" t="s">
        <v>41</v>
      </c>
      <c r="M180" s="4" t="s">
        <v>44</v>
      </c>
      <c r="N180" s="5">
        <v>13</v>
      </c>
    </row>
    <row r="181" spans="1:14">
      <c r="A181" t="s">
        <v>382</v>
      </c>
      <c r="B181" s="4" t="s">
        <v>367</v>
      </c>
      <c r="C181" s="4">
        <f t="shared" si="8"/>
        <v>2026</v>
      </c>
      <c r="D181" s="4" t="str">
        <f t="shared" si="9"/>
        <v>August</v>
      </c>
      <c r="E181" s="4" t="str">
        <f t="shared" si="10"/>
        <v>Saturday</v>
      </c>
      <c r="F181" s="4" t="s">
        <v>383</v>
      </c>
      <c r="G181" s="4">
        <f t="shared" si="11"/>
        <v>19</v>
      </c>
      <c r="H181" s="4" t="s">
        <v>24</v>
      </c>
      <c r="I181" s="4" t="s">
        <v>25</v>
      </c>
      <c r="J181" s="4">
        <v>1</v>
      </c>
      <c r="K181" s="5">
        <v>14</v>
      </c>
      <c r="L181" s="4" t="s">
        <v>15</v>
      </c>
      <c r="M181" s="4" t="s">
        <v>44</v>
      </c>
      <c r="N181" s="5">
        <v>14</v>
      </c>
    </row>
    <row r="182" spans="1:14">
      <c r="A182" t="s">
        <v>384</v>
      </c>
      <c r="B182" s="4" t="s">
        <v>385</v>
      </c>
      <c r="C182" s="4">
        <f t="shared" si="8"/>
        <v>2026</v>
      </c>
      <c r="D182" s="4" t="str">
        <f t="shared" si="9"/>
        <v>August</v>
      </c>
      <c r="E182" s="4" t="str">
        <f t="shared" si="10"/>
        <v>Sunday</v>
      </c>
      <c r="F182" s="4" t="s">
        <v>386</v>
      </c>
      <c r="G182" s="4">
        <f t="shared" si="11"/>
        <v>8</v>
      </c>
      <c r="H182" s="4" t="s">
        <v>72</v>
      </c>
      <c r="I182" s="4" t="s">
        <v>14</v>
      </c>
      <c r="J182" s="4">
        <v>1</v>
      </c>
      <c r="K182" s="5">
        <v>14</v>
      </c>
      <c r="L182" s="4" t="s">
        <v>26</v>
      </c>
      <c r="M182" s="4" t="s">
        <v>16</v>
      </c>
      <c r="N182" s="5">
        <v>14</v>
      </c>
    </row>
    <row r="183" spans="1:14">
      <c r="A183" t="s">
        <v>387</v>
      </c>
      <c r="B183" s="4" t="s">
        <v>385</v>
      </c>
      <c r="C183" s="4">
        <f t="shared" si="8"/>
        <v>2026</v>
      </c>
      <c r="D183" s="4" t="str">
        <f t="shared" si="9"/>
        <v>August</v>
      </c>
      <c r="E183" s="4" t="str">
        <f t="shared" si="10"/>
        <v>Sunday</v>
      </c>
      <c r="F183" s="4" t="s">
        <v>388</v>
      </c>
      <c r="G183" s="4">
        <f t="shared" si="11"/>
        <v>10</v>
      </c>
      <c r="H183" s="4" t="s">
        <v>29</v>
      </c>
      <c r="I183" s="4" t="s">
        <v>30</v>
      </c>
      <c r="J183" s="4">
        <v>2</v>
      </c>
      <c r="K183" s="5">
        <v>9</v>
      </c>
      <c r="L183" s="4" t="s">
        <v>41</v>
      </c>
      <c r="M183" s="4" t="s">
        <v>16</v>
      </c>
      <c r="N183" s="5">
        <v>18</v>
      </c>
    </row>
    <row r="184" spans="1:14">
      <c r="A184" t="s">
        <v>389</v>
      </c>
      <c r="B184" s="4" t="s">
        <v>385</v>
      </c>
      <c r="C184" s="4">
        <f t="shared" si="8"/>
        <v>2026</v>
      </c>
      <c r="D184" s="4" t="str">
        <f t="shared" si="9"/>
        <v>August</v>
      </c>
      <c r="E184" s="4" t="str">
        <f t="shared" si="10"/>
        <v>Sunday</v>
      </c>
      <c r="F184" s="4" t="s">
        <v>390</v>
      </c>
      <c r="G184" s="4">
        <f t="shared" si="11"/>
        <v>11</v>
      </c>
      <c r="H184" s="4" t="s">
        <v>24</v>
      </c>
      <c r="I184" s="4" t="s">
        <v>25</v>
      </c>
      <c r="J184" s="4">
        <v>1</v>
      </c>
      <c r="K184" s="5">
        <v>14</v>
      </c>
      <c r="L184" s="4" t="s">
        <v>26</v>
      </c>
      <c r="M184" s="4" t="s">
        <v>16</v>
      </c>
      <c r="N184" s="5">
        <v>14</v>
      </c>
    </row>
    <row r="185" spans="1:14">
      <c r="A185" t="s">
        <v>391</v>
      </c>
      <c r="B185" s="4" t="s">
        <v>385</v>
      </c>
      <c r="C185" s="4">
        <f t="shared" si="8"/>
        <v>2026</v>
      </c>
      <c r="D185" s="4" t="str">
        <f t="shared" si="9"/>
        <v>August</v>
      </c>
      <c r="E185" s="4" t="str">
        <f t="shared" si="10"/>
        <v>Sunday</v>
      </c>
      <c r="F185" s="4" t="s">
        <v>221</v>
      </c>
      <c r="G185" s="4">
        <f t="shared" si="11"/>
        <v>11</v>
      </c>
      <c r="H185" s="4" t="s">
        <v>21</v>
      </c>
      <c r="I185" s="4" t="s">
        <v>14</v>
      </c>
      <c r="J185" s="4">
        <v>1</v>
      </c>
      <c r="K185" s="5">
        <v>12</v>
      </c>
      <c r="L185" s="4" t="s">
        <v>15</v>
      </c>
      <c r="M185" s="4" t="s">
        <v>44</v>
      </c>
      <c r="N185" s="5">
        <v>12</v>
      </c>
    </row>
    <row r="186" spans="1:14">
      <c r="A186" t="s">
        <v>392</v>
      </c>
      <c r="B186" s="4" t="s">
        <v>385</v>
      </c>
      <c r="C186" s="4">
        <f t="shared" si="8"/>
        <v>2026</v>
      </c>
      <c r="D186" s="4" t="str">
        <f t="shared" si="9"/>
        <v>August</v>
      </c>
      <c r="E186" s="4" t="str">
        <f t="shared" si="10"/>
        <v>Sunday</v>
      </c>
      <c r="F186" s="4" t="s">
        <v>393</v>
      </c>
      <c r="G186" s="4">
        <f t="shared" si="11"/>
        <v>12</v>
      </c>
      <c r="H186" s="4" t="s">
        <v>29</v>
      </c>
      <c r="I186" s="4" t="s">
        <v>30</v>
      </c>
      <c r="J186" s="4">
        <v>1</v>
      </c>
      <c r="K186" s="5">
        <v>9</v>
      </c>
      <c r="L186" s="4" t="s">
        <v>26</v>
      </c>
      <c r="M186" s="4" t="s">
        <v>44</v>
      </c>
      <c r="N186" s="5">
        <v>9</v>
      </c>
    </row>
    <row r="187" spans="1:14">
      <c r="A187" t="s">
        <v>394</v>
      </c>
      <c r="B187" s="4" t="s">
        <v>385</v>
      </c>
      <c r="C187" s="4">
        <f t="shared" si="8"/>
        <v>2026</v>
      </c>
      <c r="D187" s="4" t="str">
        <f t="shared" si="9"/>
        <v>August</v>
      </c>
      <c r="E187" s="4" t="str">
        <f t="shared" si="10"/>
        <v>Sunday</v>
      </c>
      <c r="F187" s="4" t="s">
        <v>180</v>
      </c>
      <c r="G187" s="4">
        <f t="shared" si="11"/>
        <v>13</v>
      </c>
      <c r="H187" s="4" t="s">
        <v>51</v>
      </c>
      <c r="I187" s="4" t="s">
        <v>14</v>
      </c>
      <c r="J187" s="4">
        <v>3</v>
      </c>
      <c r="K187" s="5">
        <v>7</v>
      </c>
      <c r="L187" s="4" t="s">
        <v>15</v>
      </c>
      <c r="M187" s="4" t="s">
        <v>16</v>
      </c>
      <c r="N187" s="5">
        <v>21</v>
      </c>
    </row>
    <row r="188" spans="1:14">
      <c r="A188" t="s">
        <v>395</v>
      </c>
      <c r="B188" s="4" t="s">
        <v>385</v>
      </c>
      <c r="C188" s="4">
        <f t="shared" si="8"/>
        <v>2026</v>
      </c>
      <c r="D188" s="4" t="str">
        <f t="shared" si="9"/>
        <v>August</v>
      </c>
      <c r="E188" s="4" t="str">
        <f t="shared" si="10"/>
        <v>Sunday</v>
      </c>
      <c r="F188" s="4" t="s">
        <v>396</v>
      </c>
      <c r="G188" s="4">
        <f t="shared" si="11"/>
        <v>13</v>
      </c>
      <c r="H188" s="4" t="s">
        <v>38</v>
      </c>
      <c r="I188" s="4" t="s">
        <v>14</v>
      </c>
      <c r="J188" s="4">
        <v>2</v>
      </c>
      <c r="K188" s="5">
        <v>9</v>
      </c>
      <c r="L188" s="4" t="s">
        <v>41</v>
      </c>
      <c r="M188" s="4" t="s">
        <v>44</v>
      </c>
      <c r="N188" s="5">
        <v>18</v>
      </c>
    </row>
    <row r="189" spans="1:14">
      <c r="A189" t="s">
        <v>397</v>
      </c>
      <c r="B189" s="4" t="s">
        <v>385</v>
      </c>
      <c r="C189" s="4">
        <f t="shared" si="8"/>
        <v>2026</v>
      </c>
      <c r="D189" s="4" t="str">
        <f t="shared" si="9"/>
        <v>August</v>
      </c>
      <c r="E189" s="4" t="str">
        <f t="shared" si="10"/>
        <v>Sunday</v>
      </c>
      <c r="F189" s="4" t="s">
        <v>398</v>
      </c>
      <c r="G189" s="4">
        <f t="shared" si="11"/>
        <v>14</v>
      </c>
      <c r="H189" s="4" t="s">
        <v>62</v>
      </c>
      <c r="I189" s="4" t="s">
        <v>63</v>
      </c>
      <c r="J189" s="4">
        <v>1</v>
      </c>
      <c r="K189" s="5">
        <v>10</v>
      </c>
      <c r="L189" s="4" t="s">
        <v>26</v>
      </c>
      <c r="M189" s="4" t="s">
        <v>44</v>
      </c>
      <c r="N189" s="5">
        <v>10</v>
      </c>
    </row>
    <row r="190" spans="1:14">
      <c r="A190" t="s">
        <v>399</v>
      </c>
      <c r="B190" s="4" t="s">
        <v>385</v>
      </c>
      <c r="C190" s="4">
        <f t="shared" si="8"/>
        <v>2026</v>
      </c>
      <c r="D190" s="4" t="str">
        <f t="shared" si="9"/>
        <v>August</v>
      </c>
      <c r="E190" s="4" t="str">
        <f t="shared" si="10"/>
        <v>Sunday</v>
      </c>
      <c r="F190" s="4" t="s">
        <v>400</v>
      </c>
      <c r="G190" s="4">
        <f t="shared" si="11"/>
        <v>14</v>
      </c>
      <c r="H190" s="4" t="s">
        <v>24</v>
      </c>
      <c r="I190" s="4" t="s">
        <v>25</v>
      </c>
      <c r="J190" s="4">
        <v>2</v>
      </c>
      <c r="K190" s="5">
        <v>14</v>
      </c>
      <c r="L190" s="4" t="s">
        <v>41</v>
      </c>
      <c r="M190" s="4" t="s">
        <v>16</v>
      </c>
      <c r="N190" s="5">
        <v>28</v>
      </c>
    </row>
    <row r="191" spans="1:14">
      <c r="A191" t="s">
        <v>401</v>
      </c>
      <c r="B191" s="4" t="s">
        <v>385</v>
      </c>
      <c r="C191" s="4">
        <f t="shared" si="8"/>
        <v>2026</v>
      </c>
      <c r="D191" s="4" t="str">
        <f t="shared" si="9"/>
        <v>August</v>
      </c>
      <c r="E191" s="4" t="str">
        <f t="shared" si="10"/>
        <v>Sunday</v>
      </c>
      <c r="F191" s="4" t="s">
        <v>402</v>
      </c>
      <c r="G191" s="4">
        <f t="shared" si="11"/>
        <v>14</v>
      </c>
      <c r="H191" s="4" t="s">
        <v>29</v>
      </c>
      <c r="I191" s="4" t="s">
        <v>30</v>
      </c>
      <c r="J191" s="4">
        <v>2</v>
      </c>
      <c r="K191" s="5">
        <v>9</v>
      </c>
      <c r="L191" s="4" t="s">
        <v>41</v>
      </c>
      <c r="M191" s="4" t="s">
        <v>16</v>
      </c>
      <c r="N191" s="5">
        <v>18</v>
      </c>
    </row>
    <row r="192" spans="1:14">
      <c r="A192" t="s">
        <v>403</v>
      </c>
      <c r="B192" s="4" t="s">
        <v>385</v>
      </c>
      <c r="C192" s="4">
        <f t="shared" si="8"/>
        <v>2026</v>
      </c>
      <c r="D192" s="4" t="str">
        <f t="shared" si="9"/>
        <v>August</v>
      </c>
      <c r="E192" s="4" t="str">
        <f t="shared" si="10"/>
        <v>Sunday</v>
      </c>
      <c r="F192" s="4" t="s">
        <v>404</v>
      </c>
      <c r="G192" s="4">
        <f t="shared" si="11"/>
        <v>14</v>
      </c>
      <c r="H192" s="4" t="s">
        <v>21</v>
      </c>
      <c r="I192" s="4" t="s">
        <v>14</v>
      </c>
      <c r="J192" s="4">
        <v>2</v>
      </c>
      <c r="K192" s="5">
        <v>12</v>
      </c>
      <c r="L192" s="4" t="s">
        <v>15</v>
      </c>
      <c r="M192" s="4" t="s">
        <v>44</v>
      </c>
      <c r="N192" s="5">
        <v>24</v>
      </c>
    </row>
    <row r="193" spans="1:14">
      <c r="A193" t="s">
        <v>405</v>
      </c>
      <c r="B193" s="4" t="s">
        <v>385</v>
      </c>
      <c r="C193" s="4">
        <f t="shared" si="8"/>
        <v>2026</v>
      </c>
      <c r="D193" s="4" t="str">
        <f t="shared" si="9"/>
        <v>August</v>
      </c>
      <c r="E193" s="4" t="str">
        <f t="shared" si="10"/>
        <v>Sunday</v>
      </c>
      <c r="F193" s="4" t="s">
        <v>188</v>
      </c>
      <c r="G193" s="4">
        <f t="shared" si="11"/>
        <v>15</v>
      </c>
      <c r="H193" s="4" t="s">
        <v>24</v>
      </c>
      <c r="I193" s="4" t="s">
        <v>25</v>
      </c>
      <c r="J193" s="4">
        <v>1</v>
      </c>
      <c r="K193" s="5">
        <v>14</v>
      </c>
      <c r="L193" s="4" t="s">
        <v>26</v>
      </c>
      <c r="M193" s="4" t="s">
        <v>44</v>
      </c>
      <c r="N193" s="5">
        <v>14</v>
      </c>
    </row>
    <row r="194" spans="1:14">
      <c r="A194" t="s">
        <v>406</v>
      </c>
      <c r="B194" s="4" t="s">
        <v>385</v>
      </c>
      <c r="C194" s="4">
        <f t="shared" si="8"/>
        <v>2026</v>
      </c>
      <c r="D194" s="4" t="str">
        <f t="shared" si="9"/>
        <v>August</v>
      </c>
      <c r="E194" s="4" t="str">
        <f t="shared" si="10"/>
        <v>Sunday</v>
      </c>
      <c r="F194" s="4" t="s">
        <v>407</v>
      </c>
      <c r="G194" s="4">
        <f t="shared" si="11"/>
        <v>17</v>
      </c>
      <c r="H194" s="4" t="s">
        <v>54</v>
      </c>
      <c r="I194" s="4" t="s">
        <v>30</v>
      </c>
      <c r="J194" s="4">
        <v>1</v>
      </c>
      <c r="K194" s="5">
        <v>8</v>
      </c>
      <c r="L194" s="4" t="s">
        <v>15</v>
      </c>
      <c r="M194" s="4" t="s">
        <v>44</v>
      </c>
      <c r="N194" s="5">
        <v>8</v>
      </c>
    </row>
    <row r="195" spans="1:14">
      <c r="A195" t="s">
        <v>408</v>
      </c>
      <c r="B195" s="4" t="s">
        <v>385</v>
      </c>
      <c r="C195" s="4">
        <f t="shared" ref="C195:C258" si="12">YEAR(B195)</f>
        <v>2026</v>
      </c>
      <c r="D195" s="4" t="str">
        <f t="shared" ref="D195:D258" si="13">TEXT(B195,"mmmm")</f>
        <v>August</v>
      </c>
      <c r="E195" s="4" t="str">
        <f t="shared" ref="E195:E258" si="14">TEXT(B195,"dddd")</f>
        <v>Sunday</v>
      </c>
      <c r="F195" s="4" t="s">
        <v>409</v>
      </c>
      <c r="G195" s="4">
        <f t="shared" ref="G195:G258" si="15">HOUR(F195)</f>
        <v>19</v>
      </c>
      <c r="H195" s="4" t="s">
        <v>72</v>
      </c>
      <c r="I195" s="4" t="s">
        <v>14</v>
      </c>
      <c r="J195" s="4">
        <v>1</v>
      </c>
      <c r="K195" s="5">
        <v>14</v>
      </c>
      <c r="L195" s="4" t="s">
        <v>41</v>
      </c>
      <c r="M195" s="4" t="s">
        <v>16</v>
      </c>
      <c r="N195" s="5">
        <v>14</v>
      </c>
    </row>
    <row r="196" spans="1:14">
      <c r="A196" t="s">
        <v>410</v>
      </c>
      <c r="B196" s="4" t="s">
        <v>411</v>
      </c>
      <c r="C196" s="4">
        <f t="shared" si="12"/>
        <v>2026</v>
      </c>
      <c r="D196" s="4" t="str">
        <f t="shared" si="13"/>
        <v>August</v>
      </c>
      <c r="E196" s="4" t="str">
        <f t="shared" si="14"/>
        <v>Monday</v>
      </c>
      <c r="F196" s="4" t="s">
        <v>412</v>
      </c>
      <c r="G196" s="4">
        <f t="shared" si="15"/>
        <v>10</v>
      </c>
      <c r="H196" s="4" t="s">
        <v>29</v>
      </c>
      <c r="I196" s="4" t="s">
        <v>30</v>
      </c>
      <c r="J196" s="4">
        <v>1</v>
      </c>
      <c r="K196" s="5">
        <v>9</v>
      </c>
      <c r="L196" s="4" t="s">
        <v>15</v>
      </c>
      <c r="M196" s="4" t="s">
        <v>16</v>
      </c>
      <c r="N196" s="5">
        <v>9</v>
      </c>
    </row>
    <row r="197" spans="1:14">
      <c r="A197" t="s">
        <v>413</v>
      </c>
      <c r="B197" s="4" t="s">
        <v>411</v>
      </c>
      <c r="C197" s="4">
        <f t="shared" si="12"/>
        <v>2026</v>
      </c>
      <c r="D197" s="4" t="str">
        <f t="shared" si="13"/>
        <v>August</v>
      </c>
      <c r="E197" s="4" t="str">
        <f t="shared" si="14"/>
        <v>Monday</v>
      </c>
      <c r="F197" s="4" t="s">
        <v>393</v>
      </c>
      <c r="G197" s="4">
        <f t="shared" si="15"/>
        <v>12</v>
      </c>
      <c r="H197" s="4" t="s">
        <v>38</v>
      </c>
      <c r="I197" s="4" t="s">
        <v>14</v>
      </c>
      <c r="J197" s="4">
        <v>1</v>
      </c>
      <c r="K197" s="5">
        <v>9</v>
      </c>
      <c r="L197" s="4" t="s">
        <v>26</v>
      </c>
      <c r="M197" s="4" t="s">
        <v>16</v>
      </c>
      <c r="N197" s="5">
        <v>9</v>
      </c>
    </row>
    <row r="198" spans="1:14">
      <c r="A198" t="s">
        <v>414</v>
      </c>
      <c r="B198" s="4" t="s">
        <v>411</v>
      </c>
      <c r="C198" s="4">
        <f t="shared" si="12"/>
        <v>2026</v>
      </c>
      <c r="D198" s="4" t="str">
        <f t="shared" si="13"/>
        <v>August</v>
      </c>
      <c r="E198" s="4" t="str">
        <f t="shared" si="14"/>
        <v>Monday</v>
      </c>
      <c r="F198" s="4" t="s">
        <v>415</v>
      </c>
      <c r="G198" s="4">
        <f t="shared" si="15"/>
        <v>13</v>
      </c>
      <c r="H198" s="4" t="s">
        <v>51</v>
      </c>
      <c r="I198" s="4" t="s">
        <v>14</v>
      </c>
      <c r="J198" s="4">
        <v>1</v>
      </c>
      <c r="K198" s="5">
        <v>7</v>
      </c>
      <c r="L198" s="4" t="s">
        <v>26</v>
      </c>
      <c r="M198" s="4" t="s">
        <v>44</v>
      </c>
      <c r="N198" s="5">
        <v>7</v>
      </c>
    </row>
    <row r="199" spans="1:14">
      <c r="A199" t="s">
        <v>416</v>
      </c>
      <c r="B199" s="4" t="s">
        <v>411</v>
      </c>
      <c r="C199" s="4">
        <f t="shared" si="12"/>
        <v>2026</v>
      </c>
      <c r="D199" s="4" t="str">
        <f t="shared" si="13"/>
        <v>August</v>
      </c>
      <c r="E199" s="4" t="str">
        <f t="shared" si="14"/>
        <v>Monday</v>
      </c>
      <c r="F199" s="4" t="s">
        <v>243</v>
      </c>
      <c r="G199" s="4">
        <f t="shared" si="15"/>
        <v>14</v>
      </c>
      <c r="H199" s="4" t="s">
        <v>21</v>
      </c>
      <c r="I199" s="4" t="s">
        <v>14</v>
      </c>
      <c r="J199" s="4">
        <v>1</v>
      </c>
      <c r="K199" s="5">
        <v>12</v>
      </c>
      <c r="L199" s="4" t="s">
        <v>41</v>
      </c>
      <c r="M199" s="4" t="s">
        <v>44</v>
      </c>
      <c r="N199" s="5">
        <v>12</v>
      </c>
    </row>
    <row r="200" spans="1:14">
      <c r="A200" t="s">
        <v>417</v>
      </c>
      <c r="B200" s="4" t="s">
        <v>411</v>
      </c>
      <c r="C200" s="4">
        <f t="shared" si="12"/>
        <v>2026</v>
      </c>
      <c r="D200" s="4" t="str">
        <f t="shared" si="13"/>
        <v>August</v>
      </c>
      <c r="E200" s="4" t="str">
        <f t="shared" si="14"/>
        <v>Monday</v>
      </c>
      <c r="F200" s="4" t="s">
        <v>418</v>
      </c>
      <c r="G200" s="4">
        <f t="shared" si="15"/>
        <v>15</v>
      </c>
      <c r="H200" s="4" t="s">
        <v>62</v>
      </c>
      <c r="I200" s="4" t="s">
        <v>63</v>
      </c>
      <c r="J200" s="4">
        <v>4</v>
      </c>
      <c r="K200" s="5">
        <v>10</v>
      </c>
      <c r="L200" s="4" t="s">
        <v>41</v>
      </c>
      <c r="M200" s="4" t="s">
        <v>44</v>
      </c>
      <c r="N200" s="5">
        <v>40</v>
      </c>
    </row>
    <row r="201" spans="1:14">
      <c r="A201" t="s">
        <v>419</v>
      </c>
      <c r="B201" s="4" t="s">
        <v>411</v>
      </c>
      <c r="C201" s="4">
        <f t="shared" si="12"/>
        <v>2026</v>
      </c>
      <c r="D201" s="4" t="str">
        <f t="shared" si="13"/>
        <v>August</v>
      </c>
      <c r="E201" s="4" t="str">
        <f t="shared" si="14"/>
        <v>Monday</v>
      </c>
      <c r="F201" s="4" t="s">
        <v>420</v>
      </c>
      <c r="G201" s="4">
        <f t="shared" si="15"/>
        <v>16</v>
      </c>
      <c r="H201" s="4" t="s">
        <v>62</v>
      </c>
      <c r="I201" s="4" t="s">
        <v>63</v>
      </c>
      <c r="J201" s="4">
        <v>1</v>
      </c>
      <c r="K201" s="5">
        <v>10</v>
      </c>
      <c r="L201" s="4" t="s">
        <v>41</v>
      </c>
      <c r="M201" s="4" t="s">
        <v>16</v>
      </c>
      <c r="N201" s="5">
        <v>10</v>
      </c>
    </row>
    <row r="202" spans="1:14">
      <c r="A202" t="s">
        <v>421</v>
      </c>
      <c r="B202" s="4" t="s">
        <v>411</v>
      </c>
      <c r="C202" s="4">
        <f t="shared" si="12"/>
        <v>2026</v>
      </c>
      <c r="D202" s="4" t="str">
        <f t="shared" si="13"/>
        <v>August</v>
      </c>
      <c r="E202" s="4" t="str">
        <f t="shared" si="14"/>
        <v>Monday</v>
      </c>
      <c r="F202" s="4" t="s">
        <v>422</v>
      </c>
      <c r="G202" s="4">
        <f t="shared" si="15"/>
        <v>16</v>
      </c>
      <c r="H202" s="4" t="s">
        <v>115</v>
      </c>
      <c r="I202" s="4" t="s">
        <v>63</v>
      </c>
      <c r="J202" s="4">
        <v>1</v>
      </c>
      <c r="K202" s="5">
        <v>16</v>
      </c>
      <c r="L202" s="4" t="s">
        <v>41</v>
      </c>
      <c r="M202" s="4" t="s">
        <v>44</v>
      </c>
      <c r="N202" s="5">
        <v>16</v>
      </c>
    </row>
    <row r="203" spans="1:14">
      <c r="A203" t="s">
        <v>423</v>
      </c>
      <c r="B203" s="4" t="s">
        <v>411</v>
      </c>
      <c r="C203" s="4">
        <f t="shared" si="12"/>
        <v>2026</v>
      </c>
      <c r="D203" s="4" t="str">
        <f t="shared" si="13"/>
        <v>August</v>
      </c>
      <c r="E203" s="4" t="str">
        <f t="shared" si="14"/>
        <v>Monday</v>
      </c>
      <c r="F203" s="4" t="s">
        <v>424</v>
      </c>
      <c r="G203" s="4">
        <f t="shared" si="15"/>
        <v>16</v>
      </c>
      <c r="H203" s="4" t="s">
        <v>24</v>
      </c>
      <c r="I203" s="4" t="s">
        <v>25</v>
      </c>
      <c r="J203" s="4">
        <v>1</v>
      </c>
      <c r="K203" s="5">
        <v>14</v>
      </c>
      <c r="L203" s="4" t="s">
        <v>26</v>
      </c>
      <c r="M203" s="4" t="s">
        <v>16</v>
      </c>
      <c r="N203" s="5">
        <v>14</v>
      </c>
    </row>
    <row r="204" spans="1:14">
      <c r="A204" t="s">
        <v>425</v>
      </c>
      <c r="B204" s="4" t="s">
        <v>411</v>
      </c>
      <c r="C204" s="4">
        <f t="shared" si="12"/>
        <v>2026</v>
      </c>
      <c r="D204" s="4" t="str">
        <f t="shared" si="13"/>
        <v>August</v>
      </c>
      <c r="E204" s="4" t="str">
        <f t="shared" si="14"/>
        <v>Monday</v>
      </c>
      <c r="F204" s="4" t="s">
        <v>426</v>
      </c>
      <c r="G204" s="4">
        <f t="shared" si="15"/>
        <v>18</v>
      </c>
      <c r="H204" s="4" t="s">
        <v>115</v>
      </c>
      <c r="I204" s="4" t="s">
        <v>63</v>
      </c>
      <c r="J204" s="4">
        <v>1</v>
      </c>
      <c r="K204" s="5">
        <v>16</v>
      </c>
      <c r="L204" s="4" t="s">
        <v>15</v>
      </c>
      <c r="M204" s="4" t="s">
        <v>16</v>
      </c>
      <c r="N204" s="5">
        <v>16</v>
      </c>
    </row>
    <row r="205" spans="1:14">
      <c r="A205" t="s">
        <v>427</v>
      </c>
      <c r="B205" s="4" t="s">
        <v>411</v>
      </c>
      <c r="C205" s="4">
        <f t="shared" si="12"/>
        <v>2026</v>
      </c>
      <c r="D205" s="4" t="str">
        <f t="shared" si="13"/>
        <v>August</v>
      </c>
      <c r="E205" s="4" t="str">
        <f t="shared" si="14"/>
        <v>Monday</v>
      </c>
      <c r="F205" s="4" t="s">
        <v>428</v>
      </c>
      <c r="G205" s="4">
        <f t="shared" si="15"/>
        <v>18</v>
      </c>
      <c r="H205" s="4" t="s">
        <v>29</v>
      </c>
      <c r="I205" s="4" t="s">
        <v>30</v>
      </c>
      <c r="J205" s="4">
        <v>2</v>
      </c>
      <c r="K205" s="5">
        <v>9</v>
      </c>
      <c r="L205" s="4" t="s">
        <v>15</v>
      </c>
      <c r="M205" s="4" t="s">
        <v>44</v>
      </c>
      <c r="N205" s="5">
        <v>18</v>
      </c>
    </row>
    <row r="206" spans="1:14">
      <c r="A206" t="s">
        <v>429</v>
      </c>
      <c r="B206" s="4" t="s">
        <v>411</v>
      </c>
      <c r="C206" s="4">
        <f t="shared" si="12"/>
        <v>2026</v>
      </c>
      <c r="D206" s="4" t="str">
        <f t="shared" si="13"/>
        <v>August</v>
      </c>
      <c r="E206" s="4" t="str">
        <f t="shared" si="14"/>
        <v>Monday</v>
      </c>
      <c r="F206" s="4" t="s">
        <v>430</v>
      </c>
      <c r="G206" s="4">
        <f t="shared" si="15"/>
        <v>19</v>
      </c>
      <c r="H206" s="4" t="s">
        <v>38</v>
      </c>
      <c r="I206" s="4" t="s">
        <v>14</v>
      </c>
      <c r="J206" s="4">
        <v>1</v>
      </c>
      <c r="K206" s="5">
        <v>9</v>
      </c>
      <c r="L206" s="4" t="s">
        <v>26</v>
      </c>
      <c r="M206" s="4" t="s">
        <v>44</v>
      </c>
      <c r="N206" s="5">
        <v>9</v>
      </c>
    </row>
    <row r="207" spans="1:14">
      <c r="A207" t="s">
        <v>431</v>
      </c>
      <c r="B207" s="4" t="s">
        <v>411</v>
      </c>
      <c r="C207" s="4">
        <f t="shared" si="12"/>
        <v>2026</v>
      </c>
      <c r="D207" s="4" t="str">
        <f t="shared" si="13"/>
        <v>August</v>
      </c>
      <c r="E207" s="4" t="str">
        <f t="shared" si="14"/>
        <v>Monday</v>
      </c>
      <c r="F207" s="4" t="s">
        <v>432</v>
      </c>
      <c r="G207" s="4">
        <f t="shared" si="15"/>
        <v>19</v>
      </c>
      <c r="H207" s="4" t="s">
        <v>13</v>
      </c>
      <c r="I207" s="4" t="s">
        <v>14</v>
      </c>
      <c r="J207" s="4">
        <v>4</v>
      </c>
      <c r="K207" s="5">
        <v>15</v>
      </c>
      <c r="L207" s="4" t="s">
        <v>26</v>
      </c>
      <c r="M207" s="4" t="s">
        <v>16</v>
      </c>
      <c r="N207" s="5">
        <v>60</v>
      </c>
    </row>
    <row r="208" spans="1:14">
      <c r="A208" t="s">
        <v>433</v>
      </c>
      <c r="B208" s="4" t="s">
        <v>434</v>
      </c>
      <c r="C208" s="4">
        <f t="shared" si="12"/>
        <v>2026</v>
      </c>
      <c r="D208" s="4" t="str">
        <f t="shared" si="13"/>
        <v>August</v>
      </c>
      <c r="E208" s="4" t="str">
        <f t="shared" si="14"/>
        <v>Tuesday</v>
      </c>
      <c r="F208" s="4" t="s">
        <v>435</v>
      </c>
      <c r="G208" s="4">
        <f t="shared" si="15"/>
        <v>8</v>
      </c>
      <c r="H208" s="4" t="s">
        <v>24</v>
      </c>
      <c r="I208" s="4" t="s">
        <v>25</v>
      </c>
      <c r="J208" s="4">
        <v>1</v>
      </c>
      <c r="K208" s="5">
        <v>14</v>
      </c>
      <c r="L208" s="4" t="s">
        <v>26</v>
      </c>
      <c r="M208" s="4" t="s">
        <v>16</v>
      </c>
      <c r="N208" s="5">
        <v>14</v>
      </c>
    </row>
    <row r="209" spans="1:14">
      <c r="A209" t="s">
        <v>436</v>
      </c>
      <c r="B209" s="4" t="s">
        <v>434</v>
      </c>
      <c r="C209" s="4">
        <f t="shared" si="12"/>
        <v>2026</v>
      </c>
      <c r="D209" s="4" t="str">
        <f t="shared" si="13"/>
        <v>August</v>
      </c>
      <c r="E209" s="4" t="str">
        <f t="shared" si="14"/>
        <v>Tuesday</v>
      </c>
      <c r="F209" s="4" t="s">
        <v>437</v>
      </c>
      <c r="G209" s="4">
        <f t="shared" si="15"/>
        <v>9</v>
      </c>
      <c r="H209" s="4" t="s">
        <v>35</v>
      </c>
      <c r="I209" s="4" t="s">
        <v>14</v>
      </c>
      <c r="J209" s="4">
        <v>3</v>
      </c>
      <c r="K209" s="5">
        <v>13</v>
      </c>
      <c r="L209" s="4" t="s">
        <v>41</v>
      </c>
      <c r="M209" s="4" t="s">
        <v>16</v>
      </c>
      <c r="N209" s="5">
        <v>39</v>
      </c>
    </row>
    <row r="210" spans="1:14">
      <c r="A210" t="s">
        <v>438</v>
      </c>
      <c r="B210" s="4" t="s">
        <v>434</v>
      </c>
      <c r="C210" s="4">
        <f t="shared" si="12"/>
        <v>2026</v>
      </c>
      <c r="D210" s="4" t="str">
        <f t="shared" si="13"/>
        <v>August</v>
      </c>
      <c r="E210" s="4" t="str">
        <f t="shared" si="14"/>
        <v>Tuesday</v>
      </c>
      <c r="F210" s="4" t="s">
        <v>439</v>
      </c>
      <c r="G210" s="4">
        <f t="shared" si="15"/>
        <v>9</v>
      </c>
      <c r="H210" s="4" t="s">
        <v>51</v>
      </c>
      <c r="I210" s="4" t="s">
        <v>14</v>
      </c>
      <c r="J210" s="4">
        <v>2</v>
      </c>
      <c r="K210" s="5">
        <v>7</v>
      </c>
      <c r="L210" s="4" t="s">
        <v>41</v>
      </c>
      <c r="M210" s="4" t="s">
        <v>16</v>
      </c>
      <c r="N210" s="5">
        <v>14</v>
      </c>
    </row>
    <row r="211" spans="1:14">
      <c r="A211" t="s">
        <v>440</v>
      </c>
      <c r="B211" s="4" t="s">
        <v>434</v>
      </c>
      <c r="C211" s="4">
        <f t="shared" si="12"/>
        <v>2026</v>
      </c>
      <c r="D211" s="4" t="str">
        <f t="shared" si="13"/>
        <v>August</v>
      </c>
      <c r="E211" s="4" t="str">
        <f t="shared" si="14"/>
        <v>Tuesday</v>
      </c>
      <c r="F211" s="4" t="s">
        <v>23</v>
      </c>
      <c r="G211" s="4">
        <f t="shared" si="15"/>
        <v>11</v>
      </c>
      <c r="H211" s="4" t="s">
        <v>38</v>
      </c>
      <c r="I211" s="4" t="s">
        <v>14</v>
      </c>
      <c r="J211" s="4">
        <v>1</v>
      </c>
      <c r="K211" s="5">
        <v>9</v>
      </c>
      <c r="L211" s="4" t="s">
        <v>15</v>
      </c>
      <c r="M211" s="4" t="s">
        <v>16</v>
      </c>
      <c r="N211" s="5">
        <v>9</v>
      </c>
    </row>
    <row r="212" spans="1:14">
      <c r="A212" t="s">
        <v>441</v>
      </c>
      <c r="B212" s="4" t="s">
        <v>434</v>
      </c>
      <c r="C212" s="4">
        <f t="shared" si="12"/>
        <v>2026</v>
      </c>
      <c r="D212" s="4" t="str">
        <f t="shared" si="13"/>
        <v>August</v>
      </c>
      <c r="E212" s="4" t="str">
        <f t="shared" si="14"/>
        <v>Tuesday</v>
      </c>
      <c r="F212" s="4" t="s">
        <v>270</v>
      </c>
      <c r="G212" s="4">
        <f t="shared" si="15"/>
        <v>15</v>
      </c>
      <c r="H212" s="4" t="s">
        <v>21</v>
      </c>
      <c r="I212" s="4" t="s">
        <v>14</v>
      </c>
      <c r="J212" s="4">
        <v>2</v>
      </c>
      <c r="K212" s="5">
        <v>12</v>
      </c>
      <c r="L212" s="4" t="s">
        <v>41</v>
      </c>
      <c r="M212" s="4" t="s">
        <v>16</v>
      </c>
      <c r="N212" s="5">
        <v>24</v>
      </c>
    </row>
    <row r="213" spans="1:14">
      <c r="A213" t="s">
        <v>442</v>
      </c>
      <c r="B213" s="4" t="s">
        <v>434</v>
      </c>
      <c r="C213" s="4">
        <f t="shared" si="12"/>
        <v>2026</v>
      </c>
      <c r="D213" s="4" t="str">
        <f t="shared" si="13"/>
        <v>August</v>
      </c>
      <c r="E213" s="4" t="str">
        <f t="shared" si="14"/>
        <v>Tuesday</v>
      </c>
      <c r="F213" s="4" t="s">
        <v>443</v>
      </c>
      <c r="G213" s="4">
        <f t="shared" si="15"/>
        <v>15</v>
      </c>
      <c r="H213" s="4" t="s">
        <v>35</v>
      </c>
      <c r="I213" s="4" t="s">
        <v>14</v>
      </c>
      <c r="J213" s="4">
        <v>1</v>
      </c>
      <c r="K213" s="5">
        <v>13</v>
      </c>
      <c r="L213" s="4" t="s">
        <v>26</v>
      </c>
      <c r="M213" s="4" t="s">
        <v>16</v>
      </c>
      <c r="N213" s="5">
        <v>13</v>
      </c>
    </row>
    <row r="214" spans="1:14">
      <c r="A214" t="s">
        <v>444</v>
      </c>
      <c r="B214" s="4" t="s">
        <v>434</v>
      </c>
      <c r="C214" s="4">
        <f t="shared" si="12"/>
        <v>2026</v>
      </c>
      <c r="D214" s="4" t="str">
        <f t="shared" si="13"/>
        <v>August</v>
      </c>
      <c r="E214" s="4" t="str">
        <f t="shared" si="14"/>
        <v>Tuesday</v>
      </c>
      <c r="F214" s="4" t="s">
        <v>161</v>
      </c>
      <c r="G214" s="4">
        <f t="shared" si="15"/>
        <v>16</v>
      </c>
      <c r="H214" s="4" t="s">
        <v>35</v>
      </c>
      <c r="I214" s="4" t="s">
        <v>14</v>
      </c>
      <c r="J214" s="4">
        <v>1</v>
      </c>
      <c r="K214" s="5">
        <v>13</v>
      </c>
      <c r="L214" s="4" t="s">
        <v>41</v>
      </c>
      <c r="M214" s="4" t="s">
        <v>16</v>
      </c>
      <c r="N214" s="5">
        <v>13</v>
      </c>
    </row>
    <row r="215" spans="1:14">
      <c r="A215" t="s">
        <v>445</v>
      </c>
      <c r="B215" s="4" t="s">
        <v>434</v>
      </c>
      <c r="C215" s="4">
        <f t="shared" si="12"/>
        <v>2026</v>
      </c>
      <c r="D215" s="4" t="str">
        <f t="shared" si="13"/>
        <v>August</v>
      </c>
      <c r="E215" s="4" t="str">
        <f t="shared" si="14"/>
        <v>Tuesday</v>
      </c>
      <c r="F215" s="4" t="s">
        <v>446</v>
      </c>
      <c r="G215" s="4">
        <f t="shared" si="15"/>
        <v>17</v>
      </c>
      <c r="H215" s="4" t="s">
        <v>38</v>
      </c>
      <c r="I215" s="4" t="s">
        <v>14</v>
      </c>
      <c r="J215" s="4">
        <v>1</v>
      </c>
      <c r="K215" s="5">
        <v>9</v>
      </c>
      <c r="L215" s="4" t="s">
        <v>15</v>
      </c>
      <c r="M215" s="4" t="s">
        <v>44</v>
      </c>
      <c r="N215" s="5">
        <v>9</v>
      </c>
    </row>
    <row r="216" spans="1:14">
      <c r="A216" t="s">
        <v>447</v>
      </c>
      <c r="B216" s="4" t="s">
        <v>434</v>
      </c>
      <c r="C216" s="4">
        <f t="shared" si="12"/>
        <v>2026</v>
      </c>
      <c r="D216" s="4" t="str">
        <f t="shared" si="13"/>
        <v>August</v>
      </c>
      <c r="E216" s="4" t="str">
        <f t="shared" si="14"/>
        <v>Tuesday</v>
      </c>
      <c r="F216" s="4" t="s">
        <v>448</v>
      </c>
      <c r="G216" s="4">
        <f t="shared" si="15"/>
        <v>17</v>
      </c>
      <c r="H216" s="4" t="s">
        <v>35</v>
      </c>
      <c r="I216" s="4" t="s">
        <v>14</v>
      </c>
      <c r="J216" s="4">
        <v>1</v>
      </c>
      <c r="K216" s="5">
        <v>13</v>
      </c>
      <c r="L216" s="4" t="s">
        <v>26</v>
      </c>
      <c r="M216" s="4" t="s">
        <v>16</v>
      </c>
      <c r="N216" s="5">
        <v>13</v>
      </c>
    </row>
    <row r="217" spans="1:14">
      <c r="A217" t="s">
        <v>449</v>
      </c>
      <c r="B217" s="4" t="s">
        <v>434</v>
      </c>
      <c r="C217" s="4">
        <f t="shared" si="12"/>
        <v>2026</v>
      </c>
      <c r="D217" s="4" t="str">
        <f t="shared" si="13"/>
        <v>August</v>
      </c>
      <c r="E217" s="4" t="str">
        <f t="shared" si="14"/>
        <v>Tuesday</v>
      </c>
      <c r="F217" s="4" t="s">
        <v>450</v>
      </c>
      <c r="G217" s="4">
        <f t="shared" si="15"/>
        <v>18</v>
      </c>
      <c r="H217" s="4" t="s">
        <v>21</v>
      </c>
      <c r="I217" s="4" t="s">
        <v>14</v>
      </c>
      <c r="J217" s="4">
        <v>1</v>
      </c>
      <c r="K217" s="5">
        <v>12</v>
      </c>
      <c r="L217" s="4" t="s">
        <v>41</v>
      </c>
      <c r="M217" s="4" t="s">
        <v>16</v>
      </c>
      <c r="N217" s="5">
        <v>12</v>
      </c>
    </row>
    <row r="218" spans="1:14">
      <c r="A218" t="s">
        <v>451</v>
      </c>
      <c r="B218" s="4" t="s">
        <v>452</v>
      </c>
      <c r="C218" s="4">
        <f t="shared" si="12"/>
        <v>2026</v>
      </c>
      <c r="D218" s="4" t="str">
        <f t="shared" si="13"/>
        <v>August</v>
      </c>
      <c r="E218" s="4" t="str">
        <f t="shared" si="14"/>
        <v>Wednesday</v>
      </c>
      <c r="F218" s="4" t="s">
        <v>284</v>
      </c>
      <c r="G218" s="4">
        <f t="shared" si="15"/>
        <v>8</v>
      </c>
      <c r="H218" s="4" t="s">
        <v>54</v>
      </c>
      <c r="I218" s="4" t="s">
        <v>30</v>
      </c>
      <c r="J218" s="4">
        <v>4</v>
      </c>
      <c r="K218" s="5">
        <v>8</v>
      </c>
      <c r="L218" s="4" t="s">
        <v>26</v>
      </c>
      <c r="M218" s="4" t="s">
        <v>44</v>
      </c>
      <c r="N218" s="5">
        <v>32</v>
      </c>
    </row>
    <row r="219" spans="1:14">
      <c r="A219" t="s">
        <v>453</v>
      </c>
      <c r="B219" s="4" t="s">
        <v>452</v>
      </c>
      <c r="C219" s="4">
        <f t="shared" si="12"/>
        <v>2026</v>
      </c>
      <c r="D219" s="4" t="str">
        <f t="shared" si="13"/>
        <v>August</v>
      </c>
      <c r="E219" s="4" t="str">
        <f t="shared" si="14"/>
        <v>Wednesday</v>
      </c>
      <c r="F219" s="4" t="s">
        <v>454</v>
      </c>
      <c r="G219" s="4">
        <f t="shared" si="15"/>
        <v>8</v>
      </c>
      <c r="H219" s="4" t="s">
        <v>51</v>
      </c>
      <c r="I219" s="4" t="s">
        <v>14</v>
      </c>
      <c r="J219" s="4">
        <v>1</v>
      </c>
      <c r="K219" s="5">
        <v>7</v>
      </c>
      <c r="L219" s="4" t="s">
        <v>15</v>
      </c>
      <c r="M219" s="4" t="s">
        <v>16</v>
      </c>
      <c r="N219" s="5">
        <v>7</v>
      </c>
    </row>
    <row r="220" spans="1:14">
      <c r="A220" t="s">
        <v>455</v>
      </c>
      <c r="B220" s="4" t="s">
        <v>452</v>
      </c>
      <c r="C220" s="4">
        <f t="shared" si="12"/>
        <v>2026</v>
      </c>
      <c r="D220" s="4" t="str">
        <f t="shared" si="13"/>
        <v>August</v>
      </c>
      <c r="E220" s="4" t="str">
        <f t="shared" si="14"/>
        <v>Wednesday</v>
      </c>
      <c r="F220" s="4" t="s">
        <v>456</v>
      </c>
      <c r="G220" s="4">
        <f t="shared" si="15"/>
        <v>11</v>
      </c>
      <c r="H220" s="4" t="s">
        <v>54</v>
      </c>
      <c r="I220" s="4" t="s">
        <v>30</v>
      </c>
      <c r="J220" s="4">
        <v>1</v>
      </c>
      <c r="K220" s="5">
        <v>8</v>
      </c>
      <c r="L220" s="4" t="s">
        <v>15</v>
      </c>
      <c r="M220" s="4" t="s">
        <v>16</v>
      </c>
      <c r="N220" s="5">
        <v>8</v>
      </c>
    </row>
    <row r="221" spans="1:14">
      <c r="A221" t="s">
        <v>457</v>
      </c>
      <c r="B221" s="4" t="s">
        <v>452</v>
      </c>
      <c r="C221" s="4">
        <f t="shared" si="12"/>
        <v>2026</v>
      </c>
      <c r="D221" s="4" t="str">
        <f t="shared" si="13"/>
        <v>August</v>
      </c>
      <c r="E221" s="4" t="str">
        <f t="shared" si="14"/>
        <v>Wednesday</v>
      </c>
      <c r="F221" s="4" t="s">
        <v>458</v>
      </c>
      <c r="G221" s="4">
        <f t="shared" si="15"/>
        <v>11</v>
      </c>
      <c r="H221" s="4" t="s">
        <v>54</v>
      </c>
      <c r="I221" s="4" t="s">
        <v>30</v>
      </c>
      <c r="J221" s="4">
        <v>1</v>
      </c>
      <c r="K221" s="5">
        <v>8</v>
      </c>
      <c r="L221" s="4" t="s">
        <v>26</v>
      </c>
      <c r="M221" s="4" t="s">
        <v>44</v>
      </c>
      <c r="N221" s="5">
        <v>8</v>
      </c>
    </row>
    <row r="222" spans="1:14">
      <c r="A222" t="s">
        <v>459</v>
      </c>
      <c r="B222" s="4" t="s">
        <v>452</v>
      </c>
      <c r="C222" s="4">
        <f t="shared" si="12"/>
        <v>2026</v>
      </c>
      <c r="D222" s="4" t="str">
        <f t="shared" si="13"/>
        <v>August</v>
      </c>
      <c r="E222" s="4" t="str">
        <f t="shared" si="14"/>
        <v>Wednesday</v>
      </c>
      <c r="F222" s="4" t="s">
        <v>153</v>
      </c>
      <c r="G222" s="4">
        <f t="shared" si="15"/>
        <v>13</v>
      </c>
      <c r="H222" s="4" t="s">
        <v>38</v>
      </c>
      <c r="I222" s="4" t="s">
        <v>14</v>
      </c>
      <c r="J222" s="4">
        <v>1</v>
      </c>
      <c r="K222" s="5">
        <v>9</v>
      </c>
      <c r="L222" s="4" t="s">
        <v>26</v>
      </c>
      <c r="M222" s="4" t="s">
        <v>16</v>
      </c>
      <c r="N222" s="5">
        <v>9</v>
      </c>
    </row>
    <row r="223" spans="1:14">
      <c r="A223" t="s">
        <v>460</v>
      </c>
      <c r="B223" s="4" t="s">
        <v>452</v>
      </c>
      <c r="C223" s="4">
        <f t="shared" si="12"/>
        <v>2026</v>
      </c>
      <c r="D223" s="4" t="str">
        <f t="shared" si="13"/>
        <v>August</v>
      </c>
      <c r="E223" s="4" t="str">
        <f t="shared" si="14"/>
        <v>Wednesday</v>
      </c>
      <c r="F223" s="4" t="s">
        <v>225</v>
      </c>
      <c r="G223" s="4">
        <f t="shared" si="15"/>
        <v>16</v>
      </c>
      <c r="H223" s="4" t="s">
        <v>21</v>
      </c>
      <c r="I223" s="4" t="s">
        <v>14</v>
      </c>
      <c r="J223" s="4">
        <v>1</v>
      </c>
      <c r="K223" s="5">
        <v>12</v>
      </c>
      <c r="L223" s="4" t="s">
        <v>41</v>
      </c>
      <c r="M223" s="4" t="s">
        <v>44</v>
      </c>
      <c r="N223" s="5">
        <v>12</v>
      </c>
    </row>
    <row r="224" spans="1:14">
      <c r="A224" t="s">
        <v>461</v>
      </c>
      <c r="B224" s="4" t="s">
        <v>452</v>
      </c>
      <c r="C224" s="4">
        <f t="shared" si="12"/>
        <v>2026</v>
      </c>
      <c r="D224" s="4" t="str">
        <f t="shared" si="13"/>
        <v>August</v>
      </c>
      <c r="E224" s="4" t="str">
        <f t="shared" si="14"/>
        <v>Wednesday</v>
      </c>
      <c r="F224" s="4" t="s">
        <v>462</v>
      </c>
      <c r="G224" s="4">
        <f t="shared" si="15"/>
        <v>16</v>
      </c>
      <c r="H224" s="4" t="s">
        <v>38</v>
      </c>
      <c r="I224" s="4" t="s">
        <v>14</v>
      </c>
      <c r="J224" s="4">
        <v>2</v>
      </c>
      <c r="K224" s="5">
        <v>9</v>
      </c>
      <c r="L224" s="4" t="s">
        <v>15</v>
      </c>
      <c r="M224" s="4" t="s">
        <v>44</v>
      </c>
      <c r="N224" s="5">
        <v>18</v>
      </c>
    </row>
    <row r="225" spans="1:14">
      <c r="A225" t="s">
        <v>463</v>
      </c>
      <c r="B225" s="4" t="s">
        <v>452</v>
      </c>
      <c r="C225" s="4">
        <f t="shared" si="12"/>
        <v>2026</v>
      </c>
      <c r="D225" s="4" t="str">
        <f t="shared" si="13"/>
        <v>August</v>
      </c>
      <c r="E225" s="4" t="str">
        <f t="shared" si="14"/>
        <v>Wednesday</v>
      </c>
      <c r="F225" s="4" t="s">
        <v>464</v>
      </c>
      <c r="G225" s="4">
        <f t="shared" si="15"/>
        <v>18</v>
      </c>
      <c r="H225" s="4" t="s">
        <v>51</v>
      </c>
      <c r="I225" s="4" t="s">
        <v>14</v>
      </c>
      <c r="J225" s="4">
        <v>1</v>
      </c>
      <c r="K225" s="5">
        <v>7</v>
      </c>
      <c r="L225" s="4" t="s">
        <v>41</v>
      </c>
      <c r="M225" s="4" t="s">
        <v>44</v>
      </c>
      <c r="N225" s="5">
        <v>7</v>
      </c>
    </row>
    <row r="226" spans="1:14">
      <c r="A226" t="s">
        <v>465</v>
      </c>
      <c r="B226" s="4" t="s">
        <v>466</v>
      </c>
      <c r="C226" s="4">
        <f t="shared" si="12"/>
        <v>2026</v>
      </c>
      <c r="D226" s="4" t="str">
        <f t="shared" si="13"/>
        <v>August</v>
      </c>
      <c r="E226" s="4" t="str">
        <f t="shared" si="14"/>
        <v>Thursday</v>
      </c>
      <c r="F226" s="4" t="s">
        <v>467</v>
      </c>
      <c r="G226" s="4">
        <f t="shared" si="15"/>
        <v>8</v>
      </c>
      <c r="H226" s="4" t="s">
        <v>35</v>
      </c>
      <c r="I226" s="4" t="s">
        <v>14</v>
      </c>
      <c r="J226" s="4">
        <v>1</v>
      </c>
      <c r="K226" s="5">
        <v>13</v>
      </c>
      <c r="L226" s="4" t="s">
        <v>26</v>
      </c>
      <c r="M226" s="4" t="s">
        <v>16</v>
      </c>
      <c r="N226" s="5">
        <v>13</v>
      </c>
    </row>
    <row r="227" spans="1:14">
      <c r="A227" t="s">
        <v>468</v>
      </c>
      <c r="B227" s="4" t="s">
        <v>466</v>
      </c>
      <c r="C227" s="4">
        <f t="shared" si="12"/>
        <v>2026</v>
      </c>
      <c r="D227" s="4" t="str">
        <f t="shared" si="13"/>
        <v>August</v>
      </c>
      <c r="E227" s="4" t="str">
        <f t="shared" si="14"/>
        <v>Thursday</v>
      </c>
      <c r="F227" s="4" t="s">
        <v>469</v>
      </c>
      <c r="G227" s="4">
        <f t="shared" si="15"/>
        <v>8</v>
      </c>
      <c r="H227" s="4" t="s">
        <v>38</v>
      </c>
      <c r="I227" s="4" t="s">
        <v>14</v>
      </c>
      <c r="J227" s="4">
        <v>1</v>
      </c>
      <c r="K227" s="5">
        <v>9</v>
      </c>
      <c r="L227" s="4" t="s">
        <v>26</v>
      </c>
      <c r="M227" s="4" t="s">
        <v>16</v>
      </c>
      <c r="N227" s="5">
        <v>9</v>
      </c>
    </row>
    <row r="228" spans="1:14">
      <c r="A228" t="s">
        <v>470</v>
      </c>
      <c r="B228" s="4" t="s">
        <v>466</v>
      </c>
      <c r="C228" s="4">
        <f t="shared" si="12"/>
        <v>2026</v>
      </c>
      <c r="D228" s="4" t="str">
        <f t="shared" si="13"/>
        <v>August</v>
      </c>
      <c r="E228" s="4" t="str">
        <f t="shared" si="14"/>
        <v>Thursday</v>
      </c>
      <c r="F228" s="4" t="s">
        <v>471</v>
      </c>
      <c r="G228" s="4">
        <f t="shared" si="15"/>
        <v>8</v>
      </c>
      <c r="H228" s="4" t="s">
        <v>72</v>
      </c>
      <c r="I228" s="4" t="s">
        <v>14</v>
      </c>
      <c r="J228" s="4">
        <v>2</v>
      </c>
      <c r="K228" s="5">
        <v>14</v>
      </c>
      <c r="L228" s="4" t="s">
        <v>41</v>
      </c>
      <c r="M228" s="4" t="s">
        <v>16</v>
      </c>
      <c r="N228" s="5">
        <v>28</v>
      </c>
    </row>
    <row r="229" spans="1:14">
      <c r="A229" t="s">
        <v>472</v>
      </c>
      <c r="B229" s="4" t="s">
        <v>466</v>
      </c>
      <c r="C229" s="4">
        <f t="shared" si="12"/>
        <v>2026</v>
      </c>
      <c r="D229" s="4" t="str">
        <f t="shared" si="13"/>
        <v>August</v>
      </c>
      <c r="E229" s="4" t="str">
        <f t="shared" si="14"/>
        <v>Thursday</v>
      </c>
      <c r="F229" s="4" t="s">
        <v>473</v>
      </c>
      <c r="G229" s="4">
        <f t="shared" si="15"/>
        <v>10</v>
      </c>
      <c r="H229" s="4" t="s">
        <v>13</v>
      </c>
      <c r="I229" s="4" t="s">
        <v>14</v>
      </c>
      <c r="J229" s="4">
        <v>4</v>
      </c>
      <c r="K229" s="5">
        <v>15</v>
      </c>
      <c r="L229" s="4" t="s">
        <v>41</v>
      </c>
      <c r="M229" s="4" t="s">
        <v>44</v>
      </c>
      <c r="N229" s="5">
        <v>60</v>
      </c>
    </row>
    <row r="230" spans="1:14">
      <c r="A230" t="s">
        <v>474</v>
      </c>
      <c r="B230" s="4" t="s">
        <v>466</v>
      </c>
      <c r="C230" s="4">
        <f t="shared" si="12"/>
        <v>2026</v>
      </c>
      <c r="D230" s="4" t="str">
        <f t="shared" si="13"/>
        <v>August</v>
      </c>
      <c r="E230" s="4" t="str">
        <f t="shared" si="14"/>
        <v>Thursday</v>
      </c>
      <c r="F230" s="4" t="s">
        <v>349</v>
      </c>
      <c r="G230" s="4">
        <f t="shared" si="15"/>
        <v>10</v>
      </c>
      <c r="H230" s="4" t="s">
        <v>21</v>
      </c>
      <c r="I230" s="4" t="s">
        <v>14</v>
      </c>
      <c r="J230" s="4">
        <v>2</v>
      </c>
      <c r="K230" s="5">
        <v>12</v>
      </c>
      <c r="L230" s="4" t="s">
        <v>15</v>
      </c>
      <c r="M230" s="4" t="s">
        <v>44</v>
      </c>
      <c r="N230" s="5">
        <v>24</v>
      </c>
    </row>
    <row r="231" spans="1:14">
      <c r="A231" t="s">
        <v>475</v>
      </c>
      <c r="B231" s="4" t="s">
        <v>466</v>
      </c>
      <c r="C231" s="4">
        <f t="shared" si="12"/>
        <v>2026</v>
      </c>
      <c r="D231" s="4" t="str">
        <f t="shared" si="13"/>
        <v>August</v>
      </c>
      <c r="E231" s="4" t="str">
        <f t="shared" si="14"/>
        <v>Thursday</v>
      </c>
      <c r="F231" s="4" t="s">
        <v>476</v>
      </c>
      <c r="G231" s="4">
        <f t="shared" si="15"/>
        <v>10</v>
      </c>
      <c r="H231" s="4" t="s">
        <v>62</v>
      </c>
      <c r="I231" s="4" t="s">
        <v>63</v>
      </c>
      <c r="J231" s="4">
        <v>2</v>
      </c>
      <c r="K231" s="5">
        <v>10</v>
      </c>
      <c r="L231" s="4" t="s">
        <v>26</v>
      </c>
      <c r="M231" s="4" t="s">
        <v>44</v>
      </c>
      <c r="N231" s="5">
        <v>20</v>
      </c>
    </row>
    <row r="232" spans="1:14">
      <c r="A232" t="s">
        <v>477</v>
      </c>
      <c r="B232" s="4" t="s">
        <v>466</v>
      </c>
      <c r="C232" s="4">
        <f t="shared" si="12"/>
        <v>2026</v>
      </c>
      <c r="D232" s="4" t="str">
        <f t="shared" si="13"/>
        <v>August</v>
      </c>
      <c r="E232" s="4" t="str">
        <f t="shared" si="14"/>
        <v>Thursday</v>
      </c>
      <c r="F232" s="4" t="s">
        <v>478</v>
      </c>
      <c r="G232" s="4">
        <f t="shared" si="15"/>
        <v>11</v>
      </c>
      <c r="H232" s="4" t="s">
        <v>62</v>
      </c>
      <c r="I232" s="4" t="s">
        <v>63</v>
      </c>
      <c r="J232" s="4">
        <v>1</v>
      </c>
      <c r="K232" s="5">
        <v>10</v>
      </c>
      <c r="L232" s="4" t="s">
        <v>15</v>
      </c>
      <c r="M232" s="4" t="s">
        <v>16</v>
      </c>
      <c r="N232" s="5">
        <v>10</v>
      </c>
    </row>
    <row r="233" spans="1:14">
      <c r="A233" t="s">
        <v>479</v>
      </c>
      <c r="B233" s="4" t="s">
        <v>466</v>
      </c>
      <c r="C233" s="4">
        <f t="shared" si="12"/>
        <v>2026</v>
      </c>
      <c r="D233" s="4" t="str">
        <f t="shared" si="13"/>
        <v>August</v>
      </c>
      <c r="E233" s="4" t="str">
        <f t="shared" si="14"/>
        <v>Thursday</v>
      </c>
      <c r="F233" s="4" t="s">
        <v>400</v>
      </c>
      <c r="G233" s="4">
        <f t="shared" si="15"/>
        <v>14</v>
      </c>
      <c r="H233" s="4" t="s">
        <v>35</v>
      </c>
      <c r="I233" s="4" t="s">
        <v>14</v>
      </c>
      <c r="J233" s="4">
        <v>1</v>
      </c>
      <c r="K233" s="5">
        <v>13</v>
      </c>
      <c r="L233" s="4" t="s">
        <v>15</v>
      </c>
      <c r="M233" s="4" t="s">
        <v>16</v>
      </c>
      <c r="N233" s="5">
        <v>13</v>
      </c>
    </row>
    <row r="234" spans="1:14">
      <c r="A234" t="s">
        <v>480</v>
      </c>
      <c r="B234" s="4" t="s">
        <v>466</v>
      </c>
      <c r="C234" s="4">
        <f t="shared" si="12"/>
        <v>2026</v>
      </c>
      <c r="D234" s="4" t="str">
        <f t="shared" si="13"/>
        <v>August</v>
      </c>
      <c r="E234" s="4" t="str">
        <f t="shared" si="14"/>
        <v>Thursday</v>
      </c>
      <c r="F234" s="4" t="s">
        <v>481</v>
      </c>
      <c r="G234" s="4">
        <f t="shared" si="15"/>
        <v>18</v>
      </c>
      <c r="H234" s="4" t="s">
        <v>35</v>
      </c>
      <c r="I234" s="4" t="s">
        <v>14</v>
      </c>
      <c r="J234" s="4">
        <v>1</v>
      </c>
      <c r="K234" s="5">
        <v>13</v>
      </c>
      <c r="L234" s="4" t="s">
        <v>41</v>
      </c>
      <c r="M234" s="4" t="s">
        <v>16</v>
      </c>
      <c r="N234" s="5">
        <v>13</v>
      </c>
    </row>
    <row r="235" spans="1:14">
      <c r="A235" t="s">
        <v>482</v>
      </c>
      <c r="B235" s="4" t="s">
        <v>483</v>
      </c>
      <c r="C235" s="4">
        <f t="shared" si="12"/>
        <v>2026</v>
      </c>
      <c r="D235" s="4" t="str">
        <f t="shared" si="13"/>
        <v>August</v>
      </c>
      <c r="E235" s="4" t="str">
        <f t="shared" si="14"/>
        <v>Friday</v>
      </c>
      <c r="F235" s="4" t="s">
        <v>484</v>
      </c>
      <c r="G235" s="4">
        <f t="shared" si="15"/>
        <v>8</v>
      </c>
      <c r="H235" s="4" t="s">
        <v>38</v>
      </c>
      <c r="I235" s="4" t="s">
        <v>14</v>
      </c>
      <c r="J235" s="4">
        <v>2</v>
      </c>
      <c r="K235" s="5">
        <v>9</v>
      </c>
      <c r="L235" s="4" t="s">
        <v>41</v>
      </c>
      <c r="M235" s="4" t="s">
        <v>16</v>
      </c>
      <c r="N235" s="5">
        <v>18</v>
      </c>
    </row>
    <row r="236" spans="1:14">
      <c r="A236" t="s">
        <v>485</v>
      </c>
      <c r="B236" s="4" t="s">
        <v>483</v>
      </c>
      <c r="C236" s="4">
        <f t="shared" si="12"/>
        <v>2026</v>
      </c>
      <c r="D236" s="4" t="str">
        <f t="shared" si="13"/>
        <v>August</v>
      </c>
      <c r="E236" s="4" t="str">
        <f t="shared" si="14"/>
        <v>Friday</v>
      </c>
      <c r="F236" s="4" t="s">
        <v>486</v>
      </c>
      <c r="G236" s="4">
        <f t="shared" si="15"/>
        <v>10</v>
      </c>
      <c r="H236" s="4" t="s">
        <v>105</v>
      </c>
      <c r="I236" s="4" t="s">
        <v>25</v>
      </c>
      <c r="J236" s="4">
        <v>1</v>
      </c>
      <c r="K236" s="5">
        <v>12</v>
      </c>
      <c r="L236" s="4" t="s">
        <v>15</v>
      </c>
      <c r="M236" s="4" t="s">
        <v>44</v>
      </c>
      <c r="N236" s="5">
        <v>12</v>
      </c>
    </row>
    <row r="237" spans="1:14">
      <c r="A237" t="s">
        <v>487</v>
      </c>
      <c r="B237" s="4" t="s">
        <v>483</v>
      </c>
      <c r="C237" s="4">
        <f t="shared" si="12"/>
        <v>2026</v>
      </c>
      <c r="D237" s="4" t="str">
        <f t="shared" si="13"/>
        <v>August</v>
      </c>
      <c r="E237" s="4" t="str">
        <f t="shared" si="14"/>
        <v>Friday</v>
      </c>
      <c r="F237" s="4" t="s">
        <v>488</v>
      </c>
      <c r="G237" s="4">
        <f t="shared" si="15"/>
        <v>11</v>
      </c>
      <c r="H237" s="4" t="s">
        <v>29</v>
      </c>
      <c r="I237" s="4" t="s">
        <v>30</v>
      </c>
      <c r="J237" s="4">
        <v>1</v>
      </c>
      <c r="K237" s="5">
        <v>9</v>
      </c>
      <c r="L237" s="4" t="s">
        <v>26</v>
      </c>
      <c r="M237" s="4" t="s">
        <v>16</v>
      </c>
      <c r="N237" s="5">
        <v>9</v>
      </c>
    </row>
    <row r="238" spans="1:14">
      <c r="A238" t="s">
        <v>489</v>
      </c>
      <c r="B238" s="4" t="s">
        <v>483</v>
      </c>
      <c r="C238" s="4">
        <f t="shared" si="12"/>
        <v>2026</v>
      </c>
      <c r="D238" s="4" t="str">
        <f t="shared" si="13"/>
        <v>August</v>
      </c>
      <c r="E238" s="4" t="str">
        <f t="shared" si="14"/>
        <v>Friday</v>
      </c>
      <c r="F238" s="4" t="s">
        <v>490</v>
      </c>
      <c r="G238" s="4">
        <f t="shared" si="15"/>
        <v>13</v>
      </c>
      <c r="H238" s="4" t="s">
        <v>24</v>
      </c>
      <c r="I238" s="4" t="s">
        <v>25</v>
      </c>
      <c r="J238" s="4">
        <v>1</v>
      </c>
      <c r="K238" s="5">
        <v>14</v>
      </c>
      <c r="L238" s="4" t="s">
        <v>41</v>
      </c>
      <c r="M238" s="4" t="s">
        <v>44</v>
      </c>
      <c r="N238" s="5">
        <v>14</v>
      </c>
    </row>
    <row r="239" spans="1:14">
      <c r="A239" t="s">
        <v>491</v>
      </c>
      <c r="B239" s="4" t="s">
        <v>483</v>
      </c>
      <c r="C239" s="4">
        <f t="shared" si="12"/>
        <v>2026</v>
      </c>
      <c r="D239" s="4" t="str">
        <f t="shared" si="13"/>
        <v>August</v>
      </c>
      <c r="E239" s="4" t="str">
        <f t="shared" si="14"/>
        <v>Friday</v>
      </c>
      <c r="F239" s="4" t="s">
        <v>492</v>
      </c>
      <c r="G239" s="4">
        <f t="shared" si="15"/>
        <v>14</v>
      </c>
      <c r="H239" s="4" t="s">
        <v>13</v>
      </c>
      <c r="I239" s="4" t="s">
        <v>14</v>
      </c>
      <c r="J239" s="4">
        <v>2</v>
      </c>
      <c r="K239" s="5">
        <v>15</v>
      </c>
      <c r="L239" s="4" t="s">
        <v>26</v>
      </c>
      <c r="M239" s="4" t="s">
        <v>16</v>
      </c>
      <c r="N239" s="5">
        <v>30</v>
      </c>
    </row>
    <row r="240" spans="1:14">
      <c r="A240" t="s">
        <v>493</v>
      </c>
      <c r="B240" s="4" t="s">
        <v>483</v>
      </c>
      <c r="C240" s="4">
        <f t="shared" si="12"/>
        <v>2026</v>
      </c>
      <c r="D240" s="4" t="str">
        <f t="shared" si="13"/>
        <v>August</v>
      </c>
      <c r="E240" s="4" t="str">
        <f t="shared" si="14"/>
        <v>Friday</v>
      </c>
      <c r="F240" s="4" t="s">
        <v>404</v>
      </c>
      <c r="G240" s="4">
        <f t="shared" si="15"/>
        <v>14</v>
      </c>
      <c r="H240" s="4" t="s">
        <v>35</v>
      </c>
      <c r="I240" s="4" t="s">
        <v>14</v>
      </c>
      <c r="J240" s="4">
        <v>1</v>
      </c>
      <c r="K240" s="5">
        <v>13</v>
      </c>
      <c r="L240" s="4" t="s">
        <v>41</v>
      </c>
      <c r="M240" s="4" t="s">
        <v>16</v>
      </c>
      <c r="N240" s="5">
        <v>13</v>
      </c>
    </row>
    <row r="241" spans="1:14">
      <c r="A241" t="s">
        <v>494</v>
      </c>
      <c r="B241" s="4" t="s">
        <v>483</v>
      </c>
      <c r="C241" s="4">
        <f t="shared" si="12"/>
        <v>2026</v>
      </c>
      <c r="D241" s="4" t="str">
        <f t="shared" si="13"/>
        <v>August</v>
      </c>
      <c r="E241" s="4" t="str">
        <f t="shared" si="14"/>
        <v>Friday</v>
      </c>
      <c r="F241" s="4" t="s">
        <v>495</v>
      </c>
      <c r="G241" s="4">
        <f t="shared" si="15"/>
        <v>14</v>
      </c>
      <c r="H241" s="4" t="s">
        <v>105</v>
      </c>
      <c r="I241" s="4" t="s">
        <v>25</v>
      </c>
      <c r="J241" s="4">
        <v>1</v>
      </c>
      <c r="K241" s="5">
        <v>12</v>
      </c>
      <c r="L241" s="4" t="s">
        <v>26</v>
      </c>
      <c r="M241" s="4" t="s">
        <v>16</v>
      </c>
      <c r="N241" s="5">
        <v>12</v>
      </c>
    </row>
    <row r="242" spans="1:14">
      <c r="A242" t="s">
        <v>496</v>
      </c>
      <c r="B242" s="4" t="s">
        <v>483</v>
      </c>
      <c r="C242" s="4">
        <f t="shared" si="12"/>
        <v>2026</v>
      </c>
      <c r="D242" s="4" t="str">
        <f t="shared" si="13"/>
        <v>August</v>
      </c>
      <c r="E242" s="4" t="str">
        <f t="shared" si="14"/>
        <v>Friday</v>
      </c>
      <c r="F242" s="4" t="s">
        <v>497</v>
      </c>
      <c r="G242" s="4">
        <f t="shared" si="15"/>
        <v>15</v>
      </c>
      <c r="H242" s="4" t="s">
        <v>35</v>
      </c>
      <c r="I242" s="4" t="s">
        <v>14</v>
      </c>
      <c r="J242" s="4">
        <v>2</v>
      </c>
      <c r="K242" s="5">
        <v>13</v>
      </c>
      <c r="L242" s="4" t="s">
        <v>26</v>
      </c>
      <c r="M242" s="4" t="s">
        <v>16</v>
      </c>
      <c r="N242" s="5">
        <v>26</v>
      </c>
    </row>
    <row r="243" spans="1:14">
      <c r="A243" t="s">
        <v>498</v>
      </c>
      <c r="B243" s="4" t="s">
        <v>483</v>
      </c>
      <c r="C243" s="4">
        <f t="shared" si="12"/>
        <v>2026</v>
      </c>
      <c r="D243" s="4" t="str">
        <f t="shared" si="13"/>
        <v>August</v>
      </c>
      <c r="E243" s="4" t="str">
        <f t="shared" si="14"/>
        <v>Friday</v>
      </c>
      <c r="F243" s="4" t="s">
        <v>165</v>
      </c>
      <c r="G243" s="4">
        <f t="shared" si="15"/>
        <v>17</v>
      </c>
      <c r="H243" s="4" t="s">
        <v>54</v>
      </c>
      <c r="I243" s="4" t="s">
        <v>30</v>
      </c>
      <c r="J243" s="4">
        <v>3</v>
      </c>
      <c r="K243" s="5">
        <v>8</v>
      </c>
      <c r="L243" s="4" t="s">
        <v>15</v>
      </c>
      <c r="M243" s="4" t="s">
        <v>16</v>
      </c>
      <c r="N243" s="5">
        <v>24</v>
      </c>
    </row>
    <row r="244" spans="1:14">
      <c r="A244" t="s">
        <v>499</v>
      </c>
      <c r="B244" s="4" t="s">
        <v>483</v>
      </c>
      <c r="C244" s="4">
        <f t="shared" si="12"/>
        <v>2026</v>
      </c>
      <c r="D244" s="4" t="str">
        <f t="shared" si="13"/>
        <v>August</v>
      </c>
      <c r="E244" s="4" t="str">
        <f t="shared" si="14"/>
        <v>Friday</v>
      </c>
      <c r="F244" s="4" t="s">
        <v>500</v>
      </c>
      <c r="G244" s="4">
        <f t="shared" si="15"/>
        <v>18</v>
      </c>
      <c r="H244" s="4" t="s">
        <v>105</v>
      </c>
      <c r="I244" s="4" t="s">
        <v>25</v>
      </c>
      <c r="J244" s="4">
        <v>1</v>
      </c>
      <c r="K244" s="5">
        <v>12</v>
      </c>
      <c r="L244" s="4" t="s">
        <v>15</v>
      </c>
      <c r="M244" s="4" t="s">
        <v>44</v>
      </c>
      <c r="N244" s="5">
        <v>12</v>
      </c>
    </row>
    <row r="245" spans="1:14">
      <c r="A245" t="s">
        <v>501</v>
      </c>
      <c r="B245" s="4" t="s">
        <v>483</v>
      </c>
      <c r="C245" s="4">
        <f t="shared" si="12"/>
        <v>2026</v>
      </c>
      <c r="D245" s="4" t="str">
        <f t="shared" si="13"/>
        <v>August</v>
      </c>
      <c r="E245" s="4" t="str">
        <f t="shared" si="14"/>
        <v>Friday</v>
      </c>
      <c r="F245" s="4" t="s">
        <v>502</v>
      </c>
      <c r="G245" s="4">
        <f t="shared" si="15"/>
        <v>19</v>
      </c>
      <c r="H245" s="4" t="s">
        <v>38</v>
      </c>
      <c r="I245" s="4" t="s">
        <v>14</v>
      </c>
      <c r="J245" s="4">
        <v>1</v>
      </c>
      <c r="K245" s="5">
        <v>9</v>
      </c>
      <c r="L245" s="4" t="s">
        <v>26</v>
      </c>
      <c r="M245" s="4" t="s">
        <v>16</v>
      </c>
      <c r="N245" s="5">
        <v>9</v>
      </c>
    </row>
    <row r="246" spans="1:14">
      <c r="A246" t="s">
        <v>503</v>
      </c>
      <c r="B246" s="4" t="s">
        <v>483</v>
      </c>
      <c r="C246" s="4">
        <f t="shared" si="12"/>
        <v>2026</v>
      </c>
      <c r="D246" s="4" t="str">
        <f t="shared" si="13"/>
        <v>August</v>
      </c>
      <c r="E246" s="4" t="str">
        <f t="shared" si="14"/>
        <v>Friday</v>
      </c>
      <c r="F246" s="4" t="s">
        <v>504</v>
      </c>
      <c r="G246" s="4">
        <f t="shared" si="15"/>
        <v>19</v>
      </c>
      <c r="H246" s="4" t="s">
        <v>51</v>
      </c>
      <c r="I246" s="4" t="s">
        <v>14</v>
      </c>
      <c r="J246" s="4">
        <v>1</v>
      </c>
      <c r="K246" s="5">
        <v>7</v>
      </c>
      <c r="L246" s="4" t="s">
        <v>15</v>
      </c>
      <c r="M246" s="4" t="s">
        <v>16</v>
      </c>
      <c r="N246" s="5">
        <v>7</v>
      </c>
    </row>
    <row r="247" spans="1:14">
      <c r="A247" t="s">
        <v>505</v>
      </c>
      <c r="B247" s="4" t="s">
        <v>506</v>
      </c>
      <c r="C247" s="4">
        <f t="shared" si="12"/>
        <v>2026</v>
      </c>
      <c r="D247" s="4" t="str">
        <f t="shared" si="13"/>
        <v>August</v>
      </c>
      <c r="E247" s="4" t="str">
        <f t="shared" si="14"/>
        <v>Saturday</v>
      </c>
      <c r="F247" s="4" t="s">
        <v>507</v>
      </c>
      <c r="G247" s="4">
        <f t="shared" si="15"/>
        <v>8</v>
      </c>
      <c r="H247" s="4" t="s">
        <v>13</v>
      </c>
      <c r="I247" s="4" t="s">
        <v>14</v>
      </c>
      <c r="J247" s="4">
        <v>1</v>
      </c>
      <c r="K247" s="5">
        <v>15</v>
      </c>
      <c r="L247" s="4" t="s">
        <v>26</v>
      </c>
      <c r="M247" s="4" t="s">
        <v>44</v>
      </c>
      <c r="N247" s="5">
        <v>15</v>
      </c>
    </row>
    <row r="248" spans="1:14">
      <c r="A248" t="s">
        <v>508</v>
      </c>
      <c r="B248" s="4" t="s">
        <v>506</v>
      </c>
      <c r="C248" s="4">
        <f t="shared" si="12"/>
        <v>2026</v>
      </c>
      <c r="D248" s="4" t="str">
        <f t="shared" si="13"/>
        <v>August</v>
      </c>
      <c r="E248" s="4" t="str">
        <f t="shared" si="14"/>
        <v>Saturday</v>
      </c>
      <c r="F248" s="4" t="s">
        <v>509</v>
      </c>
      <c r="G248" s="4">
        <f t="shared" si="15"/>
        <v>10</v>
      </c>
      <c r="H248" s="4" t="s">
        <v>38</v>
      </c>
      <c r="I248" s="4" t="s">
        <v>14</v>
      </c>
      <c r="J248" s="4">
        <v>1</v>
      </c>
      <c r="K248" s="5">
        <v>9</v>
      </c>
      <c r="L248" s="4" t="s">
        <v>15</v>
      </c>
      <c r="M248" s="4" t="s">
        <v>16</v>
      </c>
      <c r="N248" s="5">
        <v>9</v>
      </c>
    </row>
    <row r="249" spans="1:14">
      <c r="A249" t="s">
        <v>510</v>
      </c>
      <c r="B249" s="4" t="s">
        <v>506</v>
      </c>
      <c r="C249" s="4">
        <f t="shared" si="12"/>
        <v>2026</v>
      </c>
      <c r="D249" s="4" t="str">
        <f t="shared" si="13"/>
        <v>August</v>
      </c>
      <c r="E249" s="4" t="str">
        <f t="shared" si="14"/>
        <v>Saturday</v>
      </c>
      <c r="F249" s="4" t="s">
        <v>473</v>
      </c>
      <c r="G249" s="4">
        <f t="shared" si="15"/>
        <v>10</v>
      </c>
      <c r="H249" s="4" t="s">
        <v>72</v>
      </c>
      <c r="I249" s="4" t="s">
        <v>14</v>
      </c>
      <c r="J249" s="4">
        <v>1</v>
      </c>
      <c r="K249" s="5">
        <v>14</v>
      </c>
      <c r="L249" s="4" t="s">
        <v>26</v>
      </c>
      <c r="M249" s="4" t="s">
        <v>16</v>
      </c>
      <c r="N249" s="5">
        <v>14</v>
      </c>
    </row>
    <row r="250" spans="1:14">
      <c r="A250" t="s">
        <v>511</v>
      </c>
      <c r="B250" s="4" t="s">
        <v>506</v>
      </c>
      <c r="C250" s="4">
        <f t="shared" si="12"/>
        <v>2026</v>
      </c>
      <c r="D250" s="4" t="str">
        <f t="shared" si="13"/>
        <v>August</v>
      </c>
      <c r="E250" s="4" t="str">
        <f t="shared" si="14"/>
        <v>Saturday</v>
      </c>
      <c r="F250" s="4" t="s">
        <v>512</v>
      </c>
      <c r="G250" s="4">
        <f t="shared" si="15"/>
        <v>11</v>
      </c>
      <c r="H250" s="4" t="s">
        <v>35</v>
      </c>
      <c r="I250" s="4" t="s">
        <v>14</v>
      </c>
      <c r="J250" s="4">
        <v>1</v>
      </c>
      <c r="K250" s="5">
        <v>13</v>
      </c>
      <c r="L250" s="4" t="s">
        <v>15</v>
      </c>
      <c r="M250" s="4" t="s">
        <v>16</v>
      </c>
      <c r="N250" s="5">
        <v>13</v>
      </c>
    </row>
    <row r="251" spans="1:14">
      <c r="A251" t="s">
        <v>513</v>
      </c>
      <c r="B251" s="4" t="s">
        <v>506</v>
      </c>
      <c r="C251" s="4">
        <f t="shared" si="12"/>
        <v>2026</v>
      </c>
      <c r="D251" s="4" t="str">
        <f t="shared" si="13"/>
        <v>August</v>
      </c>
      <c r="E251" s="4" t="str">
        <f t="shared" si="14"/>
        <v>Saturday</v>
      </c>
      <c r="F251" s="4" t="s">
        <v>514</v>
      </c>
      <c r="G251" s="4">
        <f t="shared" si="15"/>
        <v>12</v>
      </c>
      <c r="H251" s="4" t="s">
        <v>24</v>
      </c>
      <c r="I251" s="4" t="s">
        <v>25</v>
      </c>
      <c r="J251" s="4">
        <v>1</v>
      </c>
      <c r="K251" s="5">
        <v>14</v>
      </c>
      <c r="L251" s="4" t="s">
        <v>26</v>
      </c>
      <c r="M251" s="4" t="s">
        <v>44</v>
      </c>
      <c r="N251" s="5">
        <v>14</v>
      </c>
    </row>
    <row r="252" spans="1:14">
      <c r="A252" t="s">
        <v>515</v>
      </c>
      <c r="B252" s="4" t="s">
        <v>506</v>
      </c>
      <c r="C252" s="4">
        <f t="shared" si="12"/>
        <v>2026</v>
      </c>
      <c r="D252" s="4" t="str">
        <f t="shared" si="13"/>
        <v>August</v>
      </c>
      <c r="E252" s="4" t="str">
        <f t="shared" si="14"/>
        <v>Saturday</v>
      </c>
      <c r="F252" s="4" t="s">
        <v>516</v>
      </c>
      <c r="G252" s="4">
        <f t="shared" si="15"/>
        <v>12</v>
      </c>
      <c r="H252" s="4" t="s">
        <v>54</v>
      </c>
      <c r="I252" s="4" t="s">
        <v>30</v>
      </c>
      <c r="J252" s="4">
        <v>1</v>
      </c>
      <c r="K252" s="5">
        <v>8</v>
      </c>
      <c r="L252" s="4" t="s">
        <v>26</v>
      </c>
      <c r="M252" s="4" t="s">
        <v>16</v>
      </c>
      <c r="N252" s="5">
        <v>8</v>
      </c>
    </row>
    <row r="253" spans="1:14">
      <c r="A253" t="s">
        <v>517</v>
      </c>
      <c r="B253" s="4" t="s">
        <v>506</v>
      </c>
      <c r="C253" s="4">
        <f t="shared" si="12"/>
        <v>2026</v>
      </c>
      <c r="D253" s="4" t="str">
        <f t="shared" si="13"/>
        <v>August</v>
      </c>
      <c r="E253" s="4" t="str">
        <f t="shared" si="14"/>
        <v>Saturday</v>
      </c>
      <c r="F253" s="4" t="s">
        <v>518</v>
      </c>
      <c r="G253" s="4">
        <f t="shared" si="15"/>
        <v>12</v>
      </c>
      <c r="H253" s="4" t="s">
        <v>35</v>
      </c>
      <c r="I253" s="4" t="s">
        <v>14</v>
      </c>
      <c r="J253" s="4">
        <v>3</v>
      </c>
      <c r="K253" s="5">
        <v>13</v>
      </c>
      <c r="L253" s="4" t="s">
        <v>26</v>
      </c>
      <c r="M253" s="4" t="s">
        <v>44</v>
      </c>
      <c r="N253" s="5">
        <v>39</v>
      </c>
    </row>
    <row r="254" spans="1:14">
      <c r="A254" t="s">
        <v>519</v>
      </c>
      <c r="B254" s="4" t="s">
        <v>506</v>
      </c>
      <c r="C254" s="4">
        <f t="shared" si="12"/>
        <v>2026</v>
      </c>
      <c r="D254" s="4" t="str">
        <f t="shared" si="13"/>
        <v>August</v>
      </c>
      <c r="E254" s="4" t="str">
        <f t="shared" si="14"/>
        <v>Saturday</v>
      </c>
      <c r="F254" s="4" t="s">
        <v>520</v>
      </c>
      <c r="G254" s="4">
        <f t="shared" si="15"/>
        <v>14</v>
      </c>
      <c r="H254" s="4" t="s">
        <v>38</v>
      </c>
      <c r="I254" s="4" t="s">
        <v>14</v>
      </c>
      <c r="J254" s="4">
        <v>3</v>
      </c>
      <c r="K254" s="5">
        <v>9</v>
      </c>
      <c r="L254" s="4" t="s">
        <v>26</v>
      </c>
      <c r="M254" s="4" t="s">
        <v>44</v>
      </c>
      <c r="N254" s="5">
        <v>27</v>
      </c>
    </row>
    <row r="255" spans="1:14">
      <c r="A255" t="s">
        <v>521</v>
      </c>
      <c r="B255" s="4" t="s">
        <v>506</v>
      </c>
      <c r="C255" s="4">
        <f t="shared" si="12"/>
        <v>2026</v>
      </c>
      <c r="D255" s="4" t="str">
        <f t="shared" si="13"/>
        <v>August</v>
      </c>
      <c r="E255" s="4" t="str">
        <f t="shared" si="14"/>
        <v>Saturday</v>
      </c>
      <c r="F255" s="4" t="s">
        <v>522</v>
      </c>
      <c r="G255" s="4">
        <f t="shared" si="15"/>
        <v>14</v>
      </c>
      <c r="H255" s="4" t="s">
        <v>38</v>
      </c>
      <c r="I255" s="4" t="s">
        <v>14</v>
      </c>
      <c r="J255" s="4">
        <v>1</v>
      </c>
      <c r="K255" s="5">
        <v>9</v>
      </c>
      <c r="L255" s="4" t="s">
        <v>41</v>
      </c>
      <c r="M255" s="4" t="s">
        <v>44</v>
      </c>
      <c r="N255" s="5">
        <v>9</v>
      </c>
    </row>
    <row r="256" spans="1:14">
      <c r="A256" t="s">
        <v>523</v>
      </c>
      <c r="B256" s="4" t="s">
        <v>506</v>
      </c>
      <c r="C256" s="4">
        <f t="shared" si="12"/>
        <v>2026</v>
      </c>
      <c r="D256" s="4" t="str">
        <f t="shared" si="13"/>
        <v>August</v>
      </c>
      <c r="E256" s="4" t="str">
        <f t="shared" si="14"/>
        <v>Saturday</v>
      </c>
      <c r="F256" s="4" t="s">
        <v>40</v>
      </c>
      <c r="G256" s="4">
        <f t="shared" si="15"/>
        <v>15</v>
      </c>
      <c r="H256" s="4" t="s">
        <v>13</v>
      </c>
      <c r="I256" s="4" t="s">
        <v>14</v>
      </c>
      <c r="J256" s="4">
        <v>1</v>
      </c>
      <c r="K256" s="5">
        <v>15</v>
      </c>
      <c r="L256" s="4" t="s">
        <v>26</v>
      </c>
      <c r="M256" s="4" t="s">
        <v>44</v>
      </c>
      <c r="N256" s="5">
        <v>15</v>
      </c>
    </row>
    <row r="257" spans="1:14">
      <c r="A257" t="s">
        <v>524</v>
      </c>
      <c r="B257" s="4" t="s">
        <v>506</v>
      </c>
      <c r="C257" s="4">
        <f t="shared" si="12"/>
        <v>2026</v>
      </c>
      <c r="D257" s="4" t="str">
        <f t="shared" si="13"/>
        <v>August</v>
      </c>
      <c r="E257" s="4" t="str">
        <f t="shared" si="14"/>
        <v>Saturday</v>
      </c>
      <c r="F257" s="4" t="s">
        <v>525</v>
      </c>
      <c r="G257" s="4">
        <f t="shared" si="15"/>
        <v>15</v>
      </c>
      <c r="H257" s="4" t="s">
        <v>115</v>
      </c>
      <c r="I257" s="4" t="s">
        <v>63</v>
      </c>
      <c r="J257" s="4">
        <v>1</v>
      </c>
      <c r="K257" s="5">
        <v>16</v>
      </c>
      <c r="L257" s="4" t="s">
        <v>15</v>
      </c>
      <c r="M257" s="4" t="s">
        <v>16</v>
      </c>
      <c r="N257" s="5">
        <v>16</v>
      </c>
    </row>
    <row r="258" spans="1:14">
      <c r="A258" t="s">
        <v>526</v>
      </c>
      <c r="B258" s="4" t="s">
        <v>506</v>
      </c>
      <c r="C258" s="4">
        <f t="shared" si="12"/>
        <v>2026</v>
      </c>
      <c r="D258" s="4" t="str">
        <f t="shared" si="13"/>
        <v>August</v>
      </c>
      <c r="E258" s="4" t="str">
        <f t="shared" si="14"/>
        <v>Saturday</v>
      </c>
      <c r="F258" s="4" t="s">
        <v>310</v>
      </c>
      <c r="G258" s="4">
        <f t="shared" si="15"/>
        <v>15</v>
      </c>
      <c r="H258" s="4" t="s">
        <v>24</v>
      </c>
      <c r="I258" s="4" t="s">
        <v>25</v>
      </c>
      <c r="J258" s="4">
        <v>1</v>
      </c>
      <c r="K258" s="5">
        <v>14</v>
      </c>
      <c r="L258" s="4" t="s">
        <v>26</v>
      </c>
      <c r="M258" s="4" t="s">
        <v>16</v>
      </c>
      <c r="N258" s="5">
        <v>14</v>
      </c>
    </row>
    <row r="259" spans="1:14">
      <c r="A259" t="s">
        <v>527</v>
      </c>
      <c r="B259" s="4" t="s">
        <v>506</v>
      </c>
      <c r="C259" s="4">
        <f t="shared" ref="C259:C322" si="16">YEAR(B259)</f>
        <v>2026</v>
      </c>
      <c r="D259" s="4" t="str">
        <f t="shared" ref="D259:D322" si="17">TEXT(B259,"mmmm")</f>
        <v>August</v>
      </c>
      <c r="E259" s="4" t="str">
        <f t="shared" ref="E259:E322" si="18">TEXT(B259,"dddd")</f>
        <v>Saturday</v>
      </c>
      <c r="F259" s="4" t="s">
        <v>528</v>
      </c>
      <c r="G259" s="4">
        <f t="shared" ref="G259:G322" si="19">HOUR(F259)</f>
        <v>15</v>
      </c>
      <c r="H259" s="4" t="s">
        <v>29</v>
      </c>
      <c r="I259" s="4" t="s">
        <v>30</v>
      </c>
      <c r="J259" s="4">
        <v>1</v>
      </c>
      <c r="K259" s="5">
        <v>9</v>
      </c>
      <c r="L259" s="4" t="s">
        <v>15</v>
      </c>
      <c r="M259" s="4" t="s">
        <v>44</v>
      </c>
      <c r="N259" s="5">
        <v>9</v>
      </c>
    </row>
    <row r="260" spans="1:14">
      <c r="A260" t="s">
        <v>529</v>
      </c>
      <c r="B260" s="4" t="s">
        <v>506</v>
      </c>
      <c r="C260" s="4">
        <f t="shared" si="16"/>
        <v>2026</v>
      </c>
      <c r="D260" s="4" t="str">
        <f t="shared" si="17"/>
        <v>August</v>
      </c>
      <c r="E260" s="4" t="str">
        <f t="shared" si="18"/>
        <v>Saturday</v>
      </c>
      <c r="F260" s="4" t="s">
        <v>530</v>
      </c>
      <c r="G260" s="4">
        <f t="shared" si="19"/>
        <v>16</v>
      </c>
      <c r="H260" s="4" t="s">
        <v>51</v>
      </c>
      <c r="I260" s="4" t="s">
        <v>14</v>
      </c>
      <c r="J260" s="4">
        <v>1</v>
      </c>
      <c r="K260" s="5">
        <v>7</v>
      </c>
      <c r="L260" s="4" t="s">
        <v>26</v>
      </c>
      <c r="M260" s="4" t="s">
        <v>44</v>
      </c>
      <c r="N260" s="5">
        <v>7</v>
      </c>
    </row>
    <row r="261" spans="1:14">
      <c r="A261" t="s">
        <v>531</v>
      </c>
      <c r="B261" s="4" t="s">
        <v>506</v>
      </c>
      <c r="C261" s="4">
        <f t="shared" si="16"/>
        <v>2026</v>
      </c>
      <c r="D261" s="4" t="str">
        <f t="shared" si="17"/>
        <v>August</v>
      </c>
      <c r="E261" s="4" t="str">
        <f t="shared" si="18"/>
        <v>Saturday</v>
      </c>
      <c r="F261" s="4" t="s">
        <v>279</v>
      </c>
      <c r="G261" s="4">
        <f t="shared" si="19"/>
        <v>16</v>
      </c>
      <c r="H261" s="4" t="s">
        <v>62</v>
      </c>
      <c r="I261" s="4" t="s">
        <v>63</v>
      </c>
      <c r="J261" s="4">
        <v>1</v>
      </c>
      <c r="K261" s="5">
        <v>10</v>
      </c>
      <c r="L261" s="4" t="s">
        <v>26</v>
      </c>
      <c r="M261" s="4" t="s">
        <v>16</v>
      </c>
      <c r="N261" s="5">
        <v>10</v>
      </c>
    </row>
    <row r="262" spans="1:14">
      <c r="A262" t="s">
        <v>532</v>
      </c>
      <c r="B262" s="4" t="s">
        <v>506</v>
      </c>
      <c r="C262" s="4">
        <f t="shared" si="16"/>
        <v>2026</v>
      </c>
      <c r="D262" s="4" t="str">
        <f t="shared" si="17"/>
        <v>August</v>
      </c>
      <c r="E262" s="4" t="str">
        <f t="shared" si="18"/>
        <v>Saturday</v>
      </c>
      <c r="F262" s="4" t="s">
        <v>533</v>
      </c>
      <c r="G262" s="4">
        <f t="shared" si="19"/>
        <v>17</v>
      </c>
      <c r="H262" s="4" t="s">
        <v>115</v>
      </c>
      <c r="I262" s="4" t="s">
        <v>63</v>
      </c>
      <c r="J262" s="4">
        <v>1</v>
      </c>
      <c r="K262" s="5">
        <v>16</v>
      </c>
      <c r="L262" s="4" t="s">
        <v>26</v>
      </c>
      <c r="M262" s="4" t="s">
        <v>16</v>
      </c>
      <c r="N262" s="5">
        <v>16</v>
      </c>
    </row>
    <row r="263" spans="1:14">
      <c r="A263" t="s">
        <v>534</v>
      </c>
      <c r="B263" s="4" t="s">
        <v>506</v>
      </c>
      <c r="C263" s="4">
        <f t="shared" si="16"/>
        <v>2026</v>
      </c>
      <c r="D263" s="4" t="str">
        <f t="shared" si="17"/>
        <v>August</v>
      </c>
      <c r="E263" s="4" t="str">
        <f t="shared" si="18"/>
        <v>Saturday</v>
      </c>
      <c r="F263" s="4" t="s">
        <v>535</v>
      </c>
      <c r="G263" s="4">
        <f t="shared" si="19"/>
        <v>17</v>
      </c>
      <c r="H263" s="4" t="s">
        <v>51</v>
      </c>
      <c r="I263" s="4" t="s">
        <v>14</v>
      </c>
      <c r="J263" s="4">
        <v>1</v>
      </c>
      <c r="K263" s="5">
        <v>7</v>
      </c>
      <c r="L263" s="4" t="s">
        <v>26</v>
      </c>
      <c r="M263" s="4" t="s">
        <v>16</v>
      </c>
      <c r="N263" s="5">
        <v>7</v>
      </c>
    </row>
    <row r="264" spans="1:14">
      <c r="A264" t="s">
        <v>536</v>
      </c>
      <c r="B264" s="4" t="s">
        <v>506</v>
      </c>
      <c r="C264" s="4">
        <f t="shared" si="16"/>
        <v>2026</v>
      </c>
      <c r="D264" s="4" t="str">
        <f t="shared" si="17"/>
        <v>August</v>
      </c>
      <c r="E264" s="4" t="str">
        <f t="shared" si="18"/>
        <v>Saturday</v>
      </c>
      <c r="F264" s="4" t="s">
        <v>281</v>
      </c>
      <c r="G264" s="4">
        <f t="shared" si="19"/>
        <v>17</v>
      </c>
      <c r="H264" s="4" t="s">
        <v>35</v>
      </c>
      <c r="I264" s="4" t="s">
        <v>14</v>
      </c>
      <c r="J264" s="4">
        <v>1</v>
      </c>
      <c r="K264" s="5">
        <v>13</v>
      </c>
      <c r="L264" s="4" t="s">
        <v>41</v>
      </c>
      <c r="M264" s="4" t="s">
        <v>16</v>
      </c>
      <c r="N264" s="5">
        <v>13</v>
      </c>
    </row>
    <row r="265" spans="1:14">
      <c r="A265" t="s">
        <v>537</v>
      </c>
      <c r="B265" s="4" t="s">
        <v>506</v>
      </c>
      <c r="C265" s="4">
        <f t="shared" si="16"/>
        <v>2026</v>
      </c>
      <c r="D265" s="4" t="str">
        <f t="shared" si="17"/>
        <v>August</v>
      </c>
      <c r="E265" s="4" t="str">
        <f t="shared" si="18"/>
        <v>Saturday</v>
      </c>
      <c r="F265" s="4" t="s">
        <v>538</v>
      </c>
      <c r="G265" s="4">
        <f t="shared" si="19"/>
        <v>17</v>
      </c>
      <c r="H265" s="4" t="s">
        <v>54</v>
      </c>
      <c r="I265" s="4" t="s">
        <v>30</v>
      </c>
      <c r="J265" s="4">
        <v>3</v>
      </c>
      <c r="K265" s="5">
        <v>8</v>
      </c>
      <c r="L265" s="4" t="s">
        <v>15</v>
      </c>
      <c r="M265" s="4" t="s">
        <v>44</v>
      </c>
      <c r="N265" s="5">
        <v>24</v>
      </c>
    </row>
    <row r="266" spans="1:14">
      <c r="A266" t="s">
        <v>539</v>
      </c>
      <c r="B266" s="4" t="s">
        <v>506</v>
      </c>
      <c r="C266" s="4">
        <f t="shared" si="16"/>
        <v>2026</v>
      </c>
      <c r="D266" s="4" t="str">
        <f t="shared" si="17"/>
        <v>August</v>
      </c>
      <c r="E266" s="4" t="str">
        <f t="shared" si="18"/>
        <v>Saturday</v>
      </c>
      <c r="F266" s="4" t="s">
        <v>540</v>
      </c>
      <c r="G266" s="4">
        <f t="shared" si="19"/>
        <v>18</v>
      </c>
      <c r="H266" s="4" t="s">
        <v>54</v>
      </c>
      <c r="I266" s="4" t="s">
        <v>30</v>
      </c>
      <c r="J266" s="4">
        <v>1</v>
      </c>
      <c r="K266" s="5">
        <v>8</v>
      </c>
      <c r="L266" s="4" t="s">
        <v>15</v>
      </c>
      <c r="M266" s="4" t="s">
        <v>44</v>
      </c>
      <c r="N266" s="5">
        <v>8</v>
      </c>
    </row>
    <row r="267" spans="1:14">
      <c r="A267" t="s">
        <v>541</v>
      </c>
      <c r="B267" s="4" t="s">
        <v>542</v>
      </c>
      <c r="C267" s="4">
        <f t="shared" si="16"/>
        <v>2026</v>
      </c>
      <c r="D267" s="4" t="str">
        <f t="shared" si="17"/>
        <v>August</v>
      </c>
      <c r="E267" s="4" t="str">
        <f t="shared" si="18"/>
        <v>Sunday</v>
      </c>
      <c r="F267" s="4" t="s">
        <v>543</v>
      </c>
      <c r="G267" s="4">
        <f t="shared" si="19"/>
        <v>11</v>
      </c>
      <c r="H267" s="4" t="s">
        <v>35</v>
      </c>
      <c r="I267" s="4" t="s">
        <v>14</v>
      </c>
      <c r="J267" s="4">
        <v>1</v>
      </c>
      <c r="K267" s="5">
        <v>13</v>
      </c>
      <c r="L267" s="4" t="s">
        <v>15</v>
      </c>
      <c r="M267" s="4" t="s">
        <v>16</v>
      </c>
      <c r="N267" s="5">
        <v>13</v>
      </c>
    </row>
    <row r="268" spans="1:14">
      <c r="A268" t="s">
        <v>544</v>
      </c>
      <c r="B268" s="4" t="s">
        <v>542</v>
      </c>
      <c r="C268" s="4">
        <f t="shared" si="16"/>
        <v>2026</v>
      </c>
      <c r="D268" s="4" t="str">
        <f t="shared" si="17"/>
        <v>August</v>
      </c>
      <c r="E268" s="4" t="str">
        <f t="shared" si="18"/>
        <v>Sunday</v>
      </c>
      <c r="F268" s="4" t="s">
        <v>545</v>
      </c>
      <c r="G268" s="4">
        <f t="shared" si="19"/>
        <v>12</v>
      </c>
      <c r="H268" s="4" t="s">
        <v>29</v>
      </c>
      <c r="I268" s="4" t="s">
        <v>30</v>
      </c>
      <c r="J268" s="4">
        <v>1</v>
      </c>
      <c r="K268" s="5">
        <v>9</v>
      </c>
      <c r="L268" s="4" t="s">
        <v>26</v>
      </c>
      <c r="M268" s="4" t="s">
        <v>16</v>
      </c>
      <c r="N268" s="5">
        <v>9</v>
      </c>
    </row>
    <row r="269" spans="1:14">
      <c r="A269" t="s">
        <v>546</v>
      </c>
      <c r="B269" s="4" t="s">
        <v>542</v>
      </c>
      <c r="C269" s="4">
        <f t="shared" si="16"/>
        <v>2026</v>
      </c>
      <c r="D269" s="4" t="str">
        <f t="shared" si="17"/>
        <v>August</v>
      </c>
      <c r="E269" s="4" t="str">
        <f t="shared" si="18"/>
        <v>Sunday</v>
      </c>
      <c r="F269" s="4" t="s">
        <v>203</v>
      </c>
      <c r="G269" s="4">
        <f t="shared" si="19"/>
        <v>13</v>
      </c>
      <c r="H269" s="4" t="s">
        <v>35</v>
      </c>
      <c r="I269" s="4" t="s">
        <v>14</v>
      </c>
      <c r="J269" s="4">
        <v>1</v>
      </c>
      <c r="K269" s="5">
        <v>13</v>
      </c>
      <c r="L269" s="4" t="s">
        <v>41</v>
      </c>
      <c r="M269" s="4" t="s">
        <v>44</v>
      </c>
      <c r="N269" s="5">
        <v>13</v>
      </c>
    </row>
    <row r="270" spans="1:14">
      <c r="A270" t="s">
        <v>547</v>
      </c>
      <c r="B270" s="4" t="s">
        <v>542</v>
      </c>
      <c r="C270" s="4">
        <f t="shared" si="16"/>
        <v>2026</v>
      </c>
      <c r="D270" s="4" t="str">
        <f t="shared" si="17"/>
        <v>August</v>
      </c>
      <c r="E270" s="4" t="str">
        <f t="shared" si="18"/>
        <v>Sunday</v>
      </c>
      <c r="F270" s="4" t="s">
        <v>418</v>
      </c>
      <c r="G270" s="4">
        <f t="shared" si="19"/>
        <v>15</v>
      </c>
      <c r="H270" s="4" t="s">
        <v>35</v>
      </c>
      <c r="I270" s="4" t="s">
        <v>14</v>
      </c>
      <c r="J270" s="4">
        <v>2</v>
      </c>
      <c r="K270" s="5">
        <v>13</v>
      </c>
      <c r="L270" s="4" t="s">
        <v>15</v>
      </c>
      <c r="M270" s="4" t="s">
        <v>16</v>
      </c>
      <c r="N270" s="5">
        <v>26</v>
      </c>
    </row>
    <row r="271" spans="1:14">
      <c r="A271" t="s">
        <v>548</v>
      </c>
      <c r="B271" s="4" t="s">
        <v>542</v>
      </c>
      <c r="C271" s="4">
        <f t="shared" si="16"/>
        <v>2026</v>
      </c>
      <c r="D271" s="4" t="str">
        <f t="shared" si="17"/>
        <v>August</v>
      </c>
      <c r="E271" s="4" t="str">
        <f t="shared" si="18"/>
        <v>Sunday</v>
      </c>
      <c r="F271" s="4" t="s">
        <v>549</v>
      </c>
      <c r="G271" s="4">
        <f t="shared" si="19"/>
        <v>15</v>
      </c>
      <c r="H271" s="4" t="s">
        <v>72</v>
      </c>
      <c r="I271" s="4" t="s">
        <v>14</v>
      </c>
      <c r="J271" s="4">
        <v>1</v>
      </c>
      <c r="K271" s="5">
        <v>14</v>
      </c>
      <c r="L271" s="4" t="s">
        <v>15</v>
      </c>
      <c r="M271" s="4" t="s">
        <v>16</v>
      </c>
      <c r="N271" s="5">
        <v>14</v>
      </c>
    </row>
    <row r="272" spans="1:14">
      <c r="A272" t="s">
        <v>550</v>
      </c>
      <c r="B272" s="4" t="s">
        <v>542</v>
      </c>
      <c r="C272" s="4">
        <f t="shared" si="16"/>
        <v>2026</v>
      </c>
      <c r="D272" s="4" t="str">
        <f t="shared" si="17"/>
        <v>August</v>
      </c>
      <c r="E272" s="4" t="str">
        <f t="shared" si="18"/>
        <v>Sunday</v>
      </c>
      <c r="F272" s="4" t="s">
        <v>551</v>
      </c>
      <c r="G272" s="4">
        <f t="shared" si="19"/>
        <v>15</v>
      </c>
      <c r="H272" s="4" t="s">
        <v>35</v>
      </c>
      <c r="I272" s="4" t="s">
        <v>14</v>
      </c>
      <c r="J272" s="4">
        <v>1</v>
      </c>
      <c r="K272" s="5">
        <v>13</v>
      </c>
      <c r="L272" s="4" t="s">
        <v>26</v>
      </c>
      <c r="M272" s="4" t="s">
        <v>44</v>
      </c>
      <c r="N272" s="5">
        <v>13</v>
      </c>
    </row>
    <row r="273" spans="1:14">
      <c r="A273" t="s">
        <v>552</v>
      </c>
      <c r="B273" s="4" t="s">
        <v>542</v>
      </c>
      <c r="C273" s="4">
        <f t="shared" si="16"/>
        <v>2026</v>
      </c>
      <c r="D273" s="4" t="str">
        <f t="shared" si="17"/>
        <v>August</v>
      </c>
      <c r="E273" s="4" t="str">
        <f t="shared" si="18"/>
        <v>Sunday</v>
      </c>
      <c r="F273" s="4" t="s">
        <v>129</v>
      </c>
      <c r="G273" s="4">
        <f t="shared" si="19"/>
        <v>16</v>
      </c>
      <c r="H273" s="4" t="s">
        <v>24</v>
      </c>
      <c r="I273" s="4" t="s">
        <v>25</v>
      </c>
      <c r="J273" s="4">
        <v>1</v>
      </c>
      <c r="K273" s="5">
        <v>14</v>
      </c>
      <c r="L273" s="4" t="s">
        <v>15</v>
      </c>
      <c r="M273" s="4" t="s">
        <v>44</v>
      </c>
      <c r="N273" s="5">
        <v>14</v>
      </c>
    </row>
    <row r="274" spans="1:14">
      <c r="A274" t="s">
        <v>553</v>
      </c>
      <c r="B274" s="4" t="s">
        <v>542</v>
      </c>
      <c r="C274" s="4">
        <f t="shared" si="16"/>
        <v>2026</v>
      </c>
      <c r="D274" s="4" t="str">
        <f t="shared" si="17"/>
        <v>August</v>
      </c>
      <c r="E274" s="4" t="str">
        <f t="shared" si="18"/>
        <v>Sunday</v>
      </c>
      <c r="F274" s="4" t="s">
        <v>554</v>
      </c>
      <c r="G274" s="4">
        <f t="shared" si="19"/>
        <v>16</v>
      </c>
      <c r="H274" s="4" t="s">
        <v>38</v>
      </c>
      <c r="I274" s="4" t="s">
        <v>14</v>
      </c>
      <c r="J274" s="4">
        <v>2</v>
      </c>
      <c r="K274" s="5">
        <v>9</v>
      </c>
      <c r="L274" s="4" t="s">
        <v>26</v>
      </c>
      <c r="M274" s="4" t="s">
        <v>16</v>
      </c>
      <c r="N274" s="5">
        <v>18</v>
      </c>
    </row>
    <row r="275" spans="1:14">
      <c r="A275" t="s">
        <v>555</v>
      </c>
      <c r="B275" s="4" t="s">
        <v>542</v>
      </c>
      <c r="C275" s="4">
        <f t="shared" si="16"/>
        <v>2026</v>
      </c>
      <c r="D275" s="4" t="str">
        <f t="shared" si="17"/>
        <v>August</v>
      </c>
      <c r="E275" s="4" t="str">
        <f t="shared" si="18"/>
        <v>Sunday</v>
      </c>
      <c r="F275" s="4" t="s">
        <v>556</v>
      </c>
      <c r="G275" s="4">
        <f t="shared" si="19"/>
        <v>17</v>
      </c>
      <c r="H275" s="4" t="s">
        <v>35</v>
      </c>
      <c r="I275" s="4" t="s">
        <v>14</v>
      </c>
      <c r="J275" s="4">
        <v>1</v>
      </c>
      <c r="K275" s="5">
        <v>13</v>
      </c>
      <c r="L275" s="4" t="s">
        <v>15</v>
      </c>
      <c r="M275" s="4" t="s">
        <v>16</v>
      </c>
      <c r="N275" s="5">
        <v>13</v>
      </c>
    </row>
    <row r="276" spans="1:14">
      <c r="A276" t="s">
        <v>557</v>
      </c>
      <c r="B276" s="4" t="s">
        <v>542</v>
      </c>
      <c r="C276" s="4">
        <f t="shared" si="16"/>
        <v>2026</v>
      </c>
      <c r="D276" s="4" t="str">
        <f t="shared" si="17"/>
        <v>August</v>
      </c>
      <c r="E276" s="4" t="str">
        <f t="shared" si="18"/>
        <v>Sunday</v>
      </c>
      <c r="F276" s="4" t="s">
        <v>558</v>
      </c>
      <c r="G276" s="4">
        <f t="shared" si="19"/>
        <v>18</v>
      </c>
      <c r="H276" s="4" t="s">
        <v>35</v>
      </c>
      <c r="I276" s="4" t="s">
        <v>14</v>
      </c>
      <c r="J276" s="4">
        <v>1</v>
      </c>
      <c r="K276" s="5">
        <v>13</v>
      </c>
      <c r="L276" s="4" t="s">
        <v>41</v>
      </c>
      <c r="M276" s="4" t="s">
        <v>44</v>
      </c>
      <c r="N276" s="5">
        <v>13</v>
      </c>
    </row>
    <row r="277" spans="1:14">
      <c r="A277" t="s">
        <v>559</v>
      </c>
      <c r="B277" s="4" t="s">
        <v>542</v>
      </c>
      <c r="C277" s="4">
        <f t="shared" si="16"/>
        <v>2026</v>
      </c>
      <c r="D277" s="4" t="str">
        <f t="shared" si="17"/>
        <v>August</v>
      </c>
      <c r="E277" s="4" t="str">
        <f t="shared" si="18"/>
        <v>Sunday</v>
      </c>
      <c r="F277" s="4" t="s">
        <v>109</v>
      </c>
      <c r="G277" s="4">
        <f t="shared" si="19"/>
        <v>18</v>
      </c>
      <c r="H277" s="4" t="s">
        <v>24</v>
      </c>
      <c r="I277" s="4" t="s">
        <v>25</v>
      </c>
      <c r="J277" s="4">
        <v>2</v>
      </c>
      <c r="K277" s="5">
        <v>14</v>
      </c>
      <c r="L277" s="4" t="s">
        <v>41</v>
      </c>
      <c r="M277" s="4" t="s">
        <v>44</v>
      </c>
      <c r="N277" s="5">
        <v>28</v>
      </c>
    </row>
    <row r="278" spans="1:14">
      <c r="A278" t="s">
        <v>560</v>
      </c>
      <c r="B278" s="4" t="s">
        <v>561</v>
      </c>
      <c r="C278" s="4">
        <f t="shared" si="16"/>
        <v>2026</v>
      </c>
      <c r="D278" s="4" t="str">
        <f t="shared" si="17"/>
        <v>August</v>
      </c>
      <c r="E278" s="4" t="str">
        <f t="shared" si="18"/>
        <v>Monday</v>
      </c>
      <c r="F278" s="4" t="s">
        <v>562</v>
      </c>
      <c r="G278" s="4">
        <f t="shared" si="19"/>
        <v>9</v>
      </c>
      <c r="H278" s="4" t="s">
        <v>35</v>
      </c>
      <c r="I278" s="4" t="s">
        <v>14</v>
      </c>
      <c r="J278" s="4">
        <v>1</v>
      </c>
      <c r="K278" s="5">
        <v>13</v>
      </c>
      <c r="L278" s="4" t="s">
        <v>15</v>
      </c>
      <c r="M278" s="4" t="s">
        <v>44</v>
      </c>
      <c r="N278" s="5">
        <v>13</v>
      </c>
    </row>
    <row r="279" spans="1:14">
      <c r="A279" t="s">
        <v>563</v>
      </c>
      <c r="B279" s="4" t="s">
        <v>561</v>
      </c>
      <c r="C279" s="4">
        <f t="shared" si="16"/>
        <v>2026</v>
      </c>
      <c r="D279" s="4" t="str">
        <f t="shared" si="17"/>
        <v>August</v>
      </c>
      <c r="E279" s="4" t="str">
        <f t="shared" si="18"/>
        <v>Monday</v>
      </c>
      <c r="F279" s="4" t="s">
        <v>564</v>
      </c>
      <c r="G279" s="4">
        <f t="shared" si="19"/>
        <v>10</v>
      </c>
      <c r="H279" s="4" t="s">
        <v>54</v>
      </c>
      <c r="I279" s="4" t="s">
        <v>30</v>
      </c>
      <c r="J279" s="4">
        <v>2</v>
      </c>
      <c r="K279" s="5">
        <v>8</v>
      </c>
      <c r="L279" s="4" t="s">
        <v>26</v>
      </c>
      <c r="M279" s="4" t="s">
        <v>44</v>
      </c>
      <c r="N279" s="5">
        <v>16</v>
      </c>
    </row>
    <row r="280" spans="1:14">
      <c r="A280" t="s">
        <v>565</v>
      </c>
      <c r="B280" s="4" t="s">
        <v>561</v>
      </c>
      <c r="C280" s="4">
        <f t="shared" si="16"/>
        <v>2026</v>
      </c>
      <c r="D280" s="4" t="str">
        <f t="shared" si="17"/>
        <v>August</v>
      </c>
      <c r="E280" s="4" t="str">
        <f t="shared" si="18"/>
        <v>Monday</v>
      </c>
      <c r="F280" s="4" t="s">
        <v>566</v>
      </c>
      <c r="G280" s="4">
        <f t="shared" si="19"/>
        <v>13</v>
      </c>
      <c r="H280" s="4" t="s">
        <v>13</v>
      </c>
      <c r="I280" s="4" t="s">
        <v>14</v>
      </c>
      <c r="J280" s="4">
        <v>1</v>
      </c>
      <c r="K280" s="5">
        <v>15</v>
      </c>
      <c r="L280" s="4" t="s">
        <v>41</v>
      </c>
      <c r="M280" s="4" t="s">
        <v>44</v>
      </c>
      <c r="N280" s="5">
        <v>15</v>
      </c>
    </row>
    <row r="281" spans="1:14">
      <c r="A281" t="s">
        <v>567</v>
      </c>
      <c r="B281" s="4" t="s">
        <v>561</v>
      </c>
      <c r="C281" s="4">
        <f t="shared" si="16"/>
        <v>2026</v>
      </c>
      <c r="D281" s="4" t="str">
        <f t="shared" si="17"/>
        <v>August</v>
      </c>
      <c r="E281" s="4" t="str">
        <f t="shared" si="18"/>
        <v>Monday</v>
      </c>
      <c r="F281" s="4" t="s">
        <v>568</v>
      </c>
      <c r="G281" s="4">
        <f t="shared" si="19"/>
        <v>14</v>
      </c>
      <c r="H281" s="4" t="s">
        <v>24</v>
      </c>
      <c r="I281" s="4" t="s">
        <v>25</v>
      </c>
      <c r="J281" s="4">
        <v>1</v>
      </c>
      <c r="K281" s="5">
        <v>14</v>
      </c>
      <c r="L281" s="4" t="s">
        <v>15</v>
      </c>
      <c r="M281" s="4" t="s">
        <v>44</v>
      </c>
      <c r="N281" s="5">
        <v>14</v>
      </c>
    </row>
    <row r="282" spans="1:14">
      <c r="A282" t="s">
        <v>569</v>
      </c>
      <c r="B282" s="4" t="s">
        <v>561</v>
      </c>
      <c r="C282" s="4">
        <f t="shared" si="16"/>
        <v>2026</v>
      </c>
      <c r="D282" s="4" t="str">
        <f t="shared" si="17"/>
        <v>August</v>
      </c>
      <c r="E282" s="4" t="str">
        <f t="shared" si="18"/>
        <v>Monday</v>
      </c>
      <c r="F282" s="4" t="s">
        <v>374</v>
      </c>
      <c r="G282" s="4">
        <f t="shared" si="19"/>
        <v>14</v>
      </c>
      <c r="H282" s="4" t="s">
        <v>72</v>
      </c>
      <c r="I282" s="4" t="s">
        <v>14</v>
      </c>
      <c r="J282" s="4">
        <v>1</v>
      </c>
      <c r="K282" s="5">
        <v>14</v>
      </c>
      <c r="L282" s="4" t="s">
        <v>15</v>
      </c>
      <c r="M282" s="4" t="s">
        <v>16</v>
      </c>
      <c r="N282" s="5">
        <v>14</v>
      </c>
    </row>
    <row r="283" spans="1:14">
      <c r="A283" t="s">
        <v>570</v>
      </c>
      <c r="B283" s="4" t="s">
        <v>561</v>
      </c>
      <c r="C283" s="4">
        <f t="shared" si="16"/>
        <v>2026</v>
      </c>
      <c r="D283" s="4" t="str">
        <f t="shared" si="17"/>
        <v>August</v>
      </c>
      <c r="E283" s="4" t="str">
        <f t="shared" si="18"/>
        <v>Monday</v>
      </c>
      <c r="F283" s="4" t="s">
        <v>571</v>
      </c>
      <c r="G283" s="4">
        <f t="shared" si="19"/>
        <v>15</v>
      </c>
      <c r="H283" s="4" t="s">
        <v>51</v>
      </c>
      <c r="I283" s="4" t="s">
        <v>14</v>
      </c>
      <c r="J283" s="4">
        <v>1</v>
      </c>
      <c r="K283" s="5">
        <v>7</v>
      </c>
      <c r="L283" s="4" t="s">
        <v>26</v>
      </c>
      <c r="M283" s="4" t="s">
        <v>16</v>
      </c>
      <c r="N283" s="5">
        <v>7</v>
      </c>
    </row>
    <row r="284" spans="1:14">
      <c r="A284" t="s">
        <v>572</v>
      </c>
      <c r="B284" s="4" t="s">
        <v>561</v>
      </c>
      <c r="C284" s="4">
        <f t="shared" si="16"/>
        <v>2026</v>
      </c>
      <c r="D284" s="4" t="str">
        <f t="shared" si="17"/>
        <v>August</v>
      </c>
      <c r="E284" s="4" t="str">
        <f t="shared" si="18"/>
        <v>Monday</v>
      </c>
      <c r="F284" s="4" t="s">
        <v>48</v>
      </c>
      <c r="G284" s="4">
        <f t="shared" si="19"/>
        <v>16</v>
      </c>
      <c r="H284" s="4" t="s">
        <v>115</v>
      </c>
      <c r="I284" s="4" t="s">
        <v>63</v>
      </c>
      <c r="J284" s="4">
        <v>1</v>
      </c>
      <c r="K284" s="5">
        <v>16</v>
      </c>
      <c r="L284" s="4" t="s">
        <v>26</v>
      </c>
      <c r="M284" s="4" t="s">
        <v>44</v>
      </c>
      <c r="N284" s="5">
        <v>16</v>
      </c>
    </row>
    <row r="285" spans="1:14">
      <c r="A285" t="s">
        <v>573</v>
      </c>
      <c r="B285" s="4" t="s">
        <v>561</v>
      </c>
      <c r="C285" s="4">
        <f t="shared" si="16"/>
        <v>2026</v>
      </c>
      <c r="D285" s="4" t="str">
        <f t="shared" si="17"/>
        <v>August</v>
      </c>
      <c r="E285" s="4" t="str">
        <f t="shared" si="18"/>
        <v>Monday</v>
      </c>
      <c r="F285" s="4" t="s">
        <v>535</v>
      </c>
      <c r="G285" s="4">
        <f t="shared" si="19"/>
        <v>17</v>
      </c>
      <c r="H285" s="4" t="s">
        <v>35</v>
      </c>
      <c r="I285" s="4" t="s">
        <v>14</v>
      </c>
      <c r="J285" s="4">
        <v>1</v>
      </c>
      <c r="K285" s="5">
        <v>13</v>
      </c>
      <c r="L285" s="4" t="s">
        <v>26</v>
      </c>
      <c r="M285" s="4" t="s">
        <v>16</v>
      </c>
      <c r="N285" s="5">
        <v>13</v>
      </c>
    </row>
    <row r="286" spans="1:14">
      <c r="A286" t="s">
        <v>574</v>
      </c>
      <c r="B286" s="4" t="s">
        <v>561</v>
      </c>
      <c r="C286" s="4">
        <f t="shared" si="16"/>
        <v>2026</v>
      </c>
      <c r="D286" s="4" t="str">
        <f t="shared" si="17"/>
        <v>August</v>
      </c>
      <c r="E286" s="4" t="str">
        <f t="shared" si="18"/>
        <v>Monday</v>
      </c>
      <c r="F286" s="4" t="s">
        <v>281</v>
      </c>
      <c r="G286" s="4">
        <f t="shared" si="19"/>
        <v>17</v>
      </c>
      <c r="H286" s="4" t="s">
        <v>21</v>
      </c>
      <c r="I286" s="4" t="s">
        <v>14</v>
      </c>
      <c r="J286" s="4">
        <v>1</v>
      </c>
      <c r="K286" s="5">
        <v>12</v>
      </c>
      <c r="L286" s="4" t="s">
        <v>26</v>
      </c>
      <c r="M286" s="4" t="s">
        <v>44</v>
      </c>
      <c r="N286" s="5">
        <v>12</v>
      </c>
    </row>
    <row r="287" spans="1:14">
      <c r="A287" t="s">
        <v>575</v>
      </c>
      <c r="B287" s="4" t="s">
        <v>561</v>
      </c>
      <c r="C287" s="4">
        <f t="shared" si="16"/>
        <v>2026</v>
      </c>
      <c r="D287" s="4" t="str">
        <f t="shared" si="17"/>
        <v>August</v>
      </c>
      <c r="E287" s="4" t="str">
        <f t="shared" si="18"/>
        <v>Monday</v>
      </c>
      <c r="F287" s="4" t="s">
        <v>576</v>
      </c>
      <c r="G287" s="4">
        <f t="shared" si="19"/>
        <v>18</v>
      </c>
      <c r="H287" s="4" t="s">
        <v>105</v>
      </c>
      <c r="I287" s="4" t="s">
        <v>25</v>
      </c>
      <c r="J287" s="4">
        <v>1</v>
      </c>
      <c r="K287" s="5">
        <v>12</v>
      </c>
      <c r="L287" s="4" t="s">
        <v>26</v>
      </c>
      <c r="M287" s="4" t="s">
        <v>16</v>
      </c>
      <c r="N287" s="5">
        <v>12</v>
      </c>
    </row>
    <row r="288" spans="1:14">
      <c r="A288" t="s">
        <v>577</v>
      </c>
      <c r="B288" s="4" t="s">
        <v>561</v>
      </c>
      <c r="C288" s="4">
        <f t="shared" si="16"/>
        <v>2026</v>
      </c>
      <c r="D288" s="4" t="str">
        <f t="shared" si="17"/>
        <v>August</v>
      </c>
      <c r="E288" s="4" t="str">
        <f t="shared" si="18"/>
        <v>Monday</v>
      </c>
      <c r="F288" s="4" t="s">
        <v>578</v>
      </c>
      <c r="G288" s="4">
        <f t="shared" si="19"/>
        <v>19</v>
      </c>
      <c r="H288" s="4" t="s">
        <v>24</v>
      </c>
      <c r="I288" s="4" t="s">
        <v>25</v>
      </c>
      <c r="J288" s="4">
        <v>2</v>
      </c>
      <c r="K288" s="5">
        <v>14</v>
      </c>
      <c r="L288" s="4" t="s">
        <v>41</v>
      </c>
      <c r="M288" s="4" t="s">
        <v>44</v>
      </c>
      <c r="N288" s="5">
        <v>28</v>
      </c>
    </row>
    <row r="289" spans="1:14">
      <c r="A289" t="s">
        <v>579</v>
      </c>
      <c r="B289" s="4" t="s">
        <v>580</v>
      </c>
      <c r="C289" s="4">
        <f t="shared" si="16"/>
        <v>2026</v>
      </c>
      <c r="D289" s="4" t="str">
        <f t="shared" si="17"/>
        <v>August</v>
      </c>
      <c r="E289" s="4" t="str">
        <f t="shared" si="18"/>
        <v>Tuesday</v>
      </c>
      <c r="F289" s="4" t="s">
        <v>214</v>
      </c>
      <c r="G289" s="4">
        <f t="shared" si="19"/>
        <v>8</v>
      </c>
      <c r="H289" s="4" t="s">
        <v>105</v>
      </c>
      <c r="I289" s="4" t="s">
        <v>25</v>
      </c>
      <c r="J289" s="4">
        <v>1</v>
      </c>
      <c r="K289" s="5">
        <v>12</v>
      </c>
      <c r="L289" s="4" t="s">
        <v>26</v>
      </c>
      <c r="M289" s="4" t="s">
        <v>44</v>
      </c>
      <c r="N289" s="5">
        <v>12</v>
      </c>
    </row>
    <row r="290" spans="1:14">
      <c r="A290" t="s">
        <v>581</v>
      </c>
      <c r="B290" s="4" t="s">
        <v>580</v>
      </c>
      <c r="C290" s="4">
        <f t="shared" si="16"/>
        <v>2026</v>
      </c>
      <c r="D290" s="4" t="str">
        <f t="shared" si="17"/>
        <v>August</v>
      </c>
      <c r="E290" s="4" t="str">
        <f t="shared" si="18"/>
        <v>Tuesday</v>
      </c>
      <c r="F290" s="4" t="s">
        <v>582</v>
      </c>
      <c r="G290" s="4">
        <f t="shared" si="19"/>
        <v>8</v>
      </c>
      <c r="H290" s="4" t="s">
        <v>13</v>
      </c>
      <c r="I290" s="4" t="s">
        <v>14</v>
      </c>
      <c r="J290" s="4">
        <v>1</v>
      </c>
      <c r="K290" s="5">
        <v>15</v>
      </c>
      <c r="L290" s="4" t="s">
        <v>41</v>
      </c>
      <c r="M290" s="4" t="s">
        <v>16</v>
      </c>
      <c r="N290" s="5">
        <v>15</v>
      </c>
    </row>
    <row r="291" spans="1:14">
      <c r="A291" t="s">
        <v>583</v>
      </c>
      <c r="B291" s="4" t="s">
        <v>580</v>
      </c>
      <c r="C291" s="4">
        <f t="shared" si="16"/>
        <v>2026</v>
      </c>
      <c r="D291" s="4" t="str">
        <f t="shared" si="17"/>
        <v>August</v>
      </c>
      <c r="E291" s="4" t="str">
        <f t="shared" si="18"/>
        <v>Tuesday</v>
      </c>
      <c r="F291" s="4" t="s">
        <v>584</v>
      </c>
      <c r="G291" s="4">
        <f t="shared" si="19"/>
        <v>10</v>
      </c>
      <c r="H291" s="4" t="s">
        <v>51</v>
      </c>
      <c r="I291" s="4" t="s">
        <v>14</v>
      </c>
      <c r="J291" s="4">
        <v>1</v>
      </c>
      <c r="K291" s="5">
        <v>7</v>
      </c>
      <c r="L291" s="4" t="s">
        <v>26</v>
      </c>
      <c r="M291" s="4" t="s">
        <v>16</v>
      </c>
      <c r="N291" s="5">
        <v>7</v>
      </c>
    </row>
    <row r="292" spans="1:14">
      <c r="A292" t="s">
        <v>585</v>
      </c>
      <c r="B292" s="4" t="s">
        <v>580</v>
      </c>
      <c r="C292" s="4">
        <f t="shared" si="16"/>
        <v>2026</v>
      </c>
      <c r="D292" s="4" t="str">
        <f t="shared" si="17"/>
        <v>August</v>
      </c>
      <c r="E292" s="4" t="str">
        <f t="shared" si="18"/>
        <v>Tuesday</v>
      </c>
      <c r="F292" s="4" t="s">
        <v>218</v>
      </c>
      <c r="G292" s="4">
        <f t="shared" si="19"/>
        <v>10</v>
      </c>
      <c r="H292" s="4" t="s">
        <v>54</v>
      </c>
      <c r="I292" s="4" t="s">
        <v>30</v>
      </c>
      <c r="J292" s="4">
        <v>2</v>
      </c>
      <c r="K292" s="5">
        <v>8</v>
      </c>
      <c r="L292" s="4" t="s">
        <v>41</v>
      </c>
      <c r="M292" s="4" t="s">
        <v>44</v>
      </c>
      <c r="N292" s="5">
        <v>16</v>
      </c>
    </row>
    <row r="293" spans="1:14">
      <c r="A293" t="s">
        <v>586</v>
      </c>
      <c r="B293" s="4" t="s">
        <v>580</v>
      </c>
      <c r="C293" s="4">
        <f t="shared" si="16"/>
        <v>2026</v>
      </c>
      <c r="D293" s="4" t="str">
        <f t="shared" si="17"/>
        <v>August</v>
      </c>
      <c r="E293" s="4" t="str">
        <f t="shared" si="18"/>
        <v>Tuesday</v>
      </c>
      <c r="F293" s="4" t="s">
        <v>319</v>
      </c>
      <c r="G293" s="4">
        <f t="shared" si="19"/>
        <v>11</v>
      </c>
      <c r="H293" s="4" t="s">
        <v>72</v>
      </c>
      <c r="I293" s="4" t="s">
        <v>14</v>
      </c>
      <c r="J293" s="4">
        <v>1</v>
      </c>
      <c r="K293" s="5">
        <v>14</v>
      </c>
      <c r="L293" s="4" t="s">
        <v>26</v>
      </c>
      <c r="M293" s="4" t="s">
        <v>44</v>
      </c>
      <c r="N293" s="5">
        <v>14</v>
      </c>
    </row>
    <row r="294" spans="1:14">
      <c r="A294" t="s">
        <v>587</v>
      </c>
      <c r="B294" s="4" t="s">
        <v>580</v>
      </c>
      <c r="C294" s="4">
        <f t="shared" si="16"/>
        <v>2026</v>
      </c>
      <c r="D294" s="4" t="str">
        <f t="shared" si="17"/>
        <v>August</v>
      </c>
      <c r="E294" s="4" t="str">
        <f t="shared" si="18"/>
        <v>Tuesday</v>
      </c>
      <c r="F294" s="4" t="s">
        <v>588</v>
      </c>
      <c r="G294" s="4">
        <f t="shared" si="19"/>
        <v>12</v>
      </c>
      <c r="H294" s="4" t="s">
        <v>38</v>
      </c>
      <c r="I294" s="4" t="s">
        <v>14</v>
      </c>
      <c r="J294" s="4">
        <v>1</v>
      </c>
      <c r="K294" s="5">
        <v>9</v>
      </c>
      <c r="L294" s="4" t="s">
        <v>41</v>
      </c>
      <c r="M294" s="4" t="s">
        <v>16</v>
      </c>
      <c r="N294" s="5">
        <v>9</v>
      </c>
    </row>
    <row r="295" spans="1:14">
      <c r="A295" t="s">
        <v>589</v>
      </c>
      <c r="B295" s="4" t="s">
        <v>580</v>
      </c>
      <c r="C295" s="4">
        <f t="shared" si="16"/>
        <v>2026</v>
      </c>
      <c r="D295" s="4" t="str">
        <f t="shared" si="17"/>
        <v>August</v>
      </c>
      <c r="E295" s="4" t="str">
        <f t="shared" si="18"/>
        <v>Tuesday</v>
      </c>
      <c r="F295" s="4" t="s">
        <v>590</v>
      </c>
      <c r="G295" s="4">
        <f t="shared" si="19"/>
        <v>12</v>
      </c>
      <c r="H295" s="4" t="s">
        <v>38</v>
      </c>
      <c r="I295" s="4" t="s">
        <v>14</v>
      </c>
      <c r="J295" s="4">
        <v>1</v>
      </c>
      <c r="K295" s="5">
        <v>9</v>
      </c>
      <c r="L295" s="4" t="s">
        <v>15</v>
      </c>
      <c r="M295" s="4" t="s">
        <v>44</v>
      </c>
      <c r="N295" s="5">
        <v>9</v>
      </c>
    </row>
    <row r="296" spans="1:14">
      <c r="A296" t="s">
        <v>591</v>
      </c>
      <c r="B296" s="4" t="s">
        <v>580</v>
      </c>
      <c r="C296" s="4">
        <f t="shared" si="16"/>
        <v>2026</v>
      </c>
      <c r="D296" s="4" t="str">
        <f t="shared" si="17"/>
        <v>August</v>
      </c>
      <c r="E296" s="4" t="str">
        <f t="shared" si="18"/>
        <v>Tuesday</v>
      </c>
      <c r="F296" s="4" t="s">
        <v>592</v>
      </c>
      <c r="G296" s="4">
        <f t="shared" si="19"/>
        <v>13</v>
      </c>
      <c r="H296" s="4" t="s">
        <v>38</v>
      </c>
      <c r="I296" s="4" t="s">
        <v>14</v>
      </c>
      <c r="J296" s="4">
        <v>1</v>
      </c>
      <c r="K296" s="5">
        <v>9</v>
      </c>
      <c r="L296" s="4" t="s">
        <v>41</v>
      </c>
      <c r="M296" s="4" t="s">
        <v>16</v>
      </c>
      <c r="N296" s="5">
        <v>9</v>
      </c>
    </row>
    <row r="297" spans="1:14">
      <c r="A297" t="s">
        <v>593</v>
      </c>
      <c r="B297" s="4" t="s">
        <v>580</v>
      </c>
      <c r="C297" s="4">
        <f t="shared" si="16"/>
        <v>2026</v>
      </c>
      <c r="D297" s="4" t="str">
        <f t="shared" si="17"/>
        <v>August</v>
      </c>
      <c r="E297" s="4" t="str">
        <f t="shared" si="18"/>
        <v>Tuesday</v>
      </c>
      <c r="F297" s="4" t="s">
        <v>594</v>
      </c>
      <c r="G297" s="4">
        <f t="shared" si="19"/>
        <v>13</v>
      </c>
      <c r="H297" s="4" t="s">
        <v>62</v>
      </c>
      <c r="I297" s="4" t="s">
        <v>63</v>
      </c>
      <c r="J297" s="4">
        <v>1</v>
      </c>
      <c r="K297" s="5">
        <v>10</v>
      </c>
      <c r="L297" s="4" t="s">
        <v>26</v>
      </c>
      <c r="M297" s="4" t="s">
        <v>44</v>
      </c>
      <c r="N297" s="5">
        <v>10</v>
      </c>
    </row>
    <row r="298" spans="1:14">
      <c r="A298" t="s">
        <v>595</v>
      </c>
      <c r="B298" s="4" t="s">
        <v>580</v>
      </c>
      <c r="C298" s="4">
        <f t="shared" si="16"/>
        <v>2026</v>
      </c>
      <c r="D298" s="4" t="str">
        <f t="shared" si="17"/>
        <v>August</v>
      </c>
      <c r="E298" s="4" t="str">
        <f t="shared" si="18"/>
        <v>Tuesday</v>
      </c>
      <c r="F298" s="4" t="s">
        <v>596</v>
      </c>
      <c r="G298" s="4">
        <f t="shared" si="19"/>
        <v>14</v>
      </c>
      <c r="H298" s="4" t="s">
        <v>51</v>
      </c>
      <c r="I298" s="4" t="s">
        <v>14</v>
      </c>
      <c r="J298" s="4">
        <v>2</v>
      </c>
      <c r="K298" s="5">
        <v>7</v>
      </c>
      <c r="L298" s="4" t="s">
        <v>26</v>
      </c>
      <c r="M298" s="4" t="s">
        <v>44</v>
      </c>
      <c r="N298" s="5">
        <v>14</v>
      </c>
    </row>
    <row r="299" spans="1:14">
      <c r="A299" t="s">
        <v>597</v>
      </c>
      <c r="B299" s="4" t="s">
        <v>580</v>
      </c>
      <c r="C299" s="4">
        <f t="shared" si="16"/>
        <v>2026</v>
      </c>
      <c r="D299" s="4" t="str">
        <f t="shared" si="17"/>
        <v>August</v>
      </c>
      <c r="E299" s="4" t="str">
        <f t="shared" si="18"/>
        <v>Tuesday</v>
      </c>
      <c r="F299" s="4" t="s">
        <v>522</v>
      </c>
      <c r="G299" s="4">
        <f t="shared" si="19"/>
        <v>14</v>
      </c>
      <c r="H299" s="4" t="s">
        <v>72</v>
      </c>
      <c r="I299" s="4" t="s">
        <v>14</v>
      </c>
      <c r="J299" s="4">
        <v>2</v>
      </c>
      <c r="K299" s="5">
        <v>14</v>
      </c>
      <c r="L299" s="4" t="s">
        <v>41</v>
      </c>
      <c r="M299" s="4" t="s">
        <v>44</v>
      </c>
      <c r="N299" s="5">
        <v>28</v>
      </c>
    </row>
    <row r="300" spans="1:14">
      <c r="A300" t="s">
        <v>598</v>
      </c>
      <c r="B300" s="4" t="s">
        <v>580</v>
      </c>
      <c r="C300" s="4">
        <f t="shared" si="16"/>
        <v>2026</v>
      </c>
      <c r="D300" s="4" t="str">
        <f t="shared" si="17"/>
        <v>August</v>
      </c>
      <c r="E300" s="4" t="str">
        <f t="shared" si="18"/>
        <v>Tuesday</v>
      </c>
      <c r="F300" s="4" t="s">
        <v>599</v>
      </c>
      <c r="G300" s="4">
        <f t="shared" si="19"/>
        <v>14</v>
      </c>
      <c r="H300" s="4" t="s">
        <v>13</v>
      </c>
      <c r="I300" s="4" t="s">
        <v>14</v>
      </c>
      <c r="J300" s="4">
        <v>1</v>
      </c>
      <c r="K300" s="5">
        <v>15</v>
      </c>
      <c r="L300" s="4" t="s">
        <v>41</v>
      </c>
      <c r="M300" s="4" t="s">
        <v>16</v>
      </c>
      <c r="N300" s="5">
        <v>15</v>
      </c>
    </row>
    <row r="301" spans="1:14">
      <c r="A301" t="s">
        <v>600</v>
      </c>
      <c r="B301" s="4" t="s">
        <v>580</v>
      </c>
      <c r="C301" s="4">
        <f t="shared" si="16"/>
        <v>2026</v>
      </c>
      <c r="D301" s="4" t="str">
        <f t="shared" si="17"/>
        <v>August</v>
      </c>
      <c r="E301" s="4" t="str">
        <f t="shared" si="18"/>
        <v>Tuesday</v>
      </c>
      <c r="F301" s="4" t="s">
        <v>601</v>
      </c>
      <c r="G301" s="4">
        <f t="shared" si="19"/>
        <v>16</v>
      </c>
      <c r="H301" s="4" t="s">
        <v>29</v>
      </c>
      <c r="I301" s="4" t="s">
        <v>30</v>
      </c>
      <c r="J301" s="4">
        <v>1</v>
      </c>
      <c r="K301" s="5">
        <v>9</v>
      </c>
      <c r="L301" s="4" t="s">
        <v>26</v>
      </c>
      <c r="M301" s="4" t="s">
        <v>44</v>
      </c>
      <c r="N301" s="5">
        <v>9</v>
      </c>
    </row>
    <row r="302" spans="1:14">
      <c r="A302" t="s">
        <v>602</v>
      </c>
      <c r="B302" s="4" t="s">
        <v>580</v>
      </c>
      <c r="C302" s="4">
        <f t="shared" si="16"/>
        <v>2026</v>
      </c>
      <c r="D302" s="4" t="str">
        <f t="shared" si="17"/>
        <v>August</v>
      </c>
      <c r="E302" s="4" t="str">
        <f t="shared" si="18"/>
        <v>Tuesday</v>
      </c>
      <c r="F302" s="4" t="s">
        <v>603</v>
      </c>
      <c r="G302" s="4">
        <f t="shared" si="19"/>
        <v>19</v>
      </c>
      <c r="H302" s="4" t="s">
        <v>38</v>
      </c>
      <c r="I302" s="4" t="s">
        <v>14</v>
      </c>
      <c r="J302" s="4">
        <v>3</v>
      </c>
      <c r="K302" s="5">
        <v>9</v>
      </c>
      <c r="L302" s="4" t="s">
        <v>15</v>
      </c>
      <c r="M302" s="4" t="s">
        <v>44</v>
      </c>
      <c r="N302" s="5">
        <v>27</v>
      </c>
    </row>
    <row r="303" spans="1:14">
      <c r="A303" t="s">
        <v>604</v>
      </c>
      <c r="B303" s="4" t="s">
        <v>605</v>
      </c>
      <c r="C303" s="4">
        <f t="shared" si="16"/>
        <v>2026</v>
      </c>
      <c r="D303" s="4" t="str">
        <f t="shared" si="17"/>
        <v>August</v>
      </c>
      <c r="E303" s="4" t="str">
        <f t="shared" si="18"/>
        <v>Wednesday</v>
      </c>
      <c r="F303" s="4" t="s">
        <v>606</v>
      </c>
      <c r="G303" s="4">
        <f t="shared" si="19"/>
        <v>9</v>
      </c>
      <c r="H303" s="4" t="s">
        <v>51</v>
      </c>
      <c r="I303" s="4" t="s">
        <v>14</v>
      </c>
      <c r="J303" s="4">
        <v>1</v>
      </c>
      <c r="K303" s="5">
        <v>7</v>
      </c>
      <c r="L303" s="4" t="s">
        <v>26</v>
      </c>
      <c r="M303" s="4" t="s">
        <v>44</v>
      </c>
      <c r="N303" s="5">
        <v>7</v>
      </c>
    </row>
    <row r="304" spans="1:14">
      <c r="A304" t="s">
        <v>607</v>
      </c>
      <c r="B304" s="4" t="s">
        <v>605</v>
      </c>
      <c r="C304" s="4">
        <f t="shared" si="16"/>
        <v>2026</v>
      </c>
      <c r="D304" s="4" t="str">
        <f t="shared" si="17"/>
        <v>August</v>
      </c>
      <c r="E304" s="4" t="str">
        <f t="shared" si="18"/>
        <v>Wednesday</v>
      </c>
      <c r="F304" s="4" t="s">
        <v>608</v>
      </c>
      <c r="G304" s="4">
        <f t="shared" si="19"/>
        <v>9</v>
      </c>
      <c r="H304" s="4" t="s">
        <v>35</v>
      </c>
      <c r="I304" s="4" t="s">
        <v>14</v>
      </c>
      <c r="J304" s="4">
        <v>1</v>
      </c>
      <c r="K304" s="5">
        <v>13</v>
      </c>
      <c r="L304" s="4" t="s">
        <v>26</v>
      </c>
      <c r="M304" s="4" t="s">
        <v>44</v>
      </c>
      <c r="N304" s="5">
        <v>13</v>
      </c>
    </row>
    <row r="305" spans="1:14">
      <c r="A305" t="s">
        <v>609</v>
      </c>
      <c r="B305" s="4" t="s">
        <v>605</v>
      </c>
      <c r="C305" s="4">
        <f t="shared" si="16"/>
        <v>2026</v>
      </c>
      <c r="D305" s="4" t="str">
        <f t="shared" si="17"/>
        <v>August</v>
      </c>
      <c r="E305" s="4" t="str">
        <f t="shared" si="18"/>
        <v>Wednesday</v>
      </c>
      <c r="F305" s="4" t="s">
        <v>610</v>
      </c>
      <c r="G305" s="4">
        <f t="shared" si="19"/>
        <v>10</v>
      </c>
      <c r="H305" s="4" t="s">
        <v>29</v>
      </c>
      <c r="I305" s="4" t="s">
        <v>30</v>
      </c>
      <c r="J305" s="4">
        <v>1</v>
      </c>
      <c r="K305" s="5">
        <v>9</v>
      </c>
      <c r="L305" s="4" t="s">
        <v>26</v>
      </c>
      <c r="M305" s="4" t="s">
        <v>16</v>
      </c>
      <c r="N305" s="5">
        <v>9</v>
      </c>
    </row>
    <row r="306" spans="1:14">
      <c r="A306" t="s">
        <v>611</v>
      </c>
      <c r="B306" s="4" t="s">
        <v>605</v>
      </c>
      <c r="C306" s="4">
        <f t="shared" si="16"/>
        <v>2026</v>
      </c>
      <c r="D306" s="4" t="str">
        <f t="shared" si="17"/>
        <v>August</v>
      </c>
      <c r="E306" s="4" t="str">
        <f t="shared" si="18"/>
        <v>Wednesday</v>
      </c>
      <c r="F306" s="4" t="s">
        <v>612</v>
      </c>
      <c r="G306" s="4">
        <f t="shared" si="19"/>
        <v>10</v>
      </c>
      <c r="H306" s="4" t="s">
        <v>35</v>
      </c>
      <c r="I306" s="4" t="s">
        <v>14</v>
      </c>
      <c r="J306" s="4">
        <v>1</v>
      </c>
      <c r="K306" s="5">
        <v>13</v>
      </c>
      <c r="L306" s="4" t="s">
        <v>26</v>
      </c>
      <c r="M306" s="4" t="s">
        <v>44</v>
      </c>
      <c r="N306" s="5">
        <v>13</v>
      </c>
    </row>
    <row r="307" spans="1:14">
      <c r="A307" t="s">
        <v>614</v>
      </c>
      <c r="B307" s="4" t="s">
        <v>605</v>
      </c>
      <c r="C307" s="4">
        <f t="shared" si="16"/>
        <v>2026</v>
      </c>
      <c r="D307" s="4" t="str">
        <f t="shared" si="17"/>
        <v>August</v>
      </c>
      <c r="E307" s="4" t="str">
        <f t="shared" si="18"/>
        <v>Wednesday</v>
      </c>
      <c r="F307" s="4" t="s">
        <v>615</v>
      </c>
      <c r="G307" s="4">
        <f t="shared" si="19"/>
        <v>10</v>
      </c>
      <c r="H307" s="4" t="s">
        <v>24</v>
      </c>
      <c r="I307" s="4" t="s">
        <v>25</v>
      </c>
      <c r="J307" s="4">
        <v>1</v>
      </c>
      <c r="K307" s="5">
        <v>14</v>
      </c>
      <c r="L307" s="4" t="s">
        <v>41</v>
      </c>
      <c r="M307" s="4" t="s">
        <v>16</v>
      </c>
      <c r="N307" s="5">
        <v>14</v>
      </c>
    </row>
    <row r="308" spans="1:14">
      <c r="A308" t="s">
        <v>616</v>
      </c>
      <c r="B308" s="4" t="s">
        <v>605</v>
      </c>
      <c r="C308" s="4">
        <f t="shared" si="16"/>
        <v>2026</v>
      </c>
      <c r="D308" s="4" t="str">
        <f t="shared" si="17"/>
        <v>August</v>
      </c>
      <c r="E308" s="4" t="str">
        <f t="shared" si="18"/>
        <v>Wednesday</v>
      </c>
      <c r="F308" s="4" t="s">
        <v>235</v>
      </c>
      <c r="G308" s="4">
        <f t="shared" si="19"/>
        <v>10</v>
      </c>
      <c r="H308" s="4" t="s">
        <v>72</v>
      </c>
      <c r="I308" s="4" t="s">
        <v>14</v>
      </c>
      <c r="J308" s="4">
        <v>1</v>
      </c>
      <c r="K308" s="5">
        <v>14</v>
      </c>
      <c r="L308" s="4" t="s">
        <v>26</v>
      </c>
      <c r="M308" s="4" t="s">
        <v>44</v>
      </c>
      <c r="N308" s="5">
        <v>14</v>
      </c>
    </row>
    <row r="309" spans="1:14">
      <c r="A309" t="s">
        <v>617</v>
      </c>
      <c r="B309" s="4" t="s">
        <v>605</v>
      </c>
      <c r="C309" s="4">
        <f t="shared" si="16"/>
        <v>2026</v>
      </c>
      <c r="D309" s="4" t="str">
        <f t="shared" si="17"/>
        <v>August</v>
      </c>
      <c r="E309" s="4" t="str">
        <f t="shared" si="18"/>
        <v>Wednesday</v>
      </c>
      <c r="F309" s="4" t="s">
        <v>618</v>
      </c>
      <c r="G309" s="4">
        <f t="shared" si="19"/>
        <v>12</v>
      </c>
      <c r="H309" s="4" t="s">
        <v>38</v>
      </c>
      <c r="I309" s="4" t="s">
        <v>14</v>
      </c>
      <c r="J309" s="4">
        <v>1</v>
      </c>
      <c r="K309" s="5">
        <v>9</v>
      </c>
      <c r="L309" s="4" t="s">
        <v>15</v>
      </c>
      <c r="M309" s="4" t="s">
        <v>16</v>
      </c>
      <c r="N309" s="5">
        <v>9</v>
      </c>
    </row>
    <row r="310" spans="1:14">
      <c r="A310" t="s">
        <v>619</v>
      </c>
      <c r="B310" s="4" t="s">
        <v>605</v>
      </c>
      <c r="C310" s="4">
        <f t="shared" si="16"/>
        <v>2026</v>
      </c>
      <c r="D310" s="4" t="str">
        <f t="shared" si="17"/>
        <v>August</v>
      </c>
      <c r="E310" s="4" t="str">
        <f t="shared" si="18"/>
        <v>Wednesday</v>
      </c>
      <c r="F310" s="4" t="s">
        <v>620</v>
      </c>
      <c r="G310" s="4">
        <f t="shared" si="19"/>
        <v>16</v>
      </c>
      <c r="H310" s="4" t="s">
        <v>35</v>
      </c>
      <c r="I310" s="4" t="s">
        <v>14</v>
      </c>
      <c r="J310" s="4">
        <v>2</v>
      </c>
      <c r="K310" s="5">
        <v>13</v>
      </c>
      <c r="L310" s="4" t="s">
        <v>41</v>
      </c>
      <c r="M310" s="4" t="s">
        <v>16</v>
      </c>
      <c r="N310" s="5">
        <v>26</v>
      </c>
    </row>
    <row r="311" spans="1:14">
      <c r="A311" t="s">
        <v>621</v>
      </c>
      <c r="B311" s="4" t="s">
        <v>605</v>
      </c>
      <c r="C311" s="4">
        <f t="shared" si="16"/>
        <v>2026</v>
      </c>
      <c r="D311" s="4" t="str">
        <f t="shared" si="17"/>
        <v>August</v>
      </c>
      <c r="E311" s="4" t="str">
        <f t="shared" si="18"/>
        <v>Wednesday</v>
      </c>
      <c r="F311" s="4" t="s">
        <v>622</v>
      </c>
      <c r="G311" s="4">
        <f t="shared" si="19"/>
        <v>16</v>
      </c>
      <c r="H311" s="4" t="s">
        <v>21</v>
      </c>
      <c r="I311" s="4" t="s">
        <v>14</v>
      </c>
      <c r="J311" s="4">
        <v>1</v>
      </c>
      <c r="K311" s="5">
        <v>12</v>
      </c>
      <c r="L311" s="4" t="s">
        <v>15</v>
      </c>
      <c r="M311" s="4" t="s">
        <v>16</v>
      </c>
      <c r="N311" s="5">
        <v>12</v>
      </c>
    </row>
    <row r="312" spans="1:14">
      <c r="A312" t="s">
        <v>623</v>
      </c>
      <c r="B312" s="4" t="s">
        <v>605</v>
      </c>
      <c r="C312" s="4">
        <f t="shared" si="16"/>
        <v>2026</v>
      </c>
      <c r="D312" s="4" t="str">
        <f t="shared" si="17"/>
        <v>August</v>
      </c>
      <c r="E312" s="4" t="str">
        <f t="shared" si="18"/>
        <v>Wednesday</v>
      </c>
      <c r="F312" s="4" t="s">
        <v>624</v>
      </c>
      <c r="G312" s="4">
        <f t="shared" si="19"/>
        <v>16</v>
      </c>
      <c r="H312" s="4" t="s">
        <v>21</v>
      </c>
      <c r="I312" s="4" t="s">
        <v>14</v>
      </c>
      <c r="J312" s="4">
        <v>1</v>
      </c>
      <c r="K312" s="5">
        <v>12</v>
      </c>
      <c r="L312" s="4" t="s">
        <v>26</v>
      </c>
      <c r="M312" s="4" t="s">
        <v>44</v>
      </c>
      <c r="N312" s="5">
        <v>12</v>
      </c>
    </row>
    <row r="313" spans="1:14">
      <c r="A313" t="s">
        <v>625</v>
      </c>
      <c r="B313" s="4" t="s">
        <v>605</v>
      </c>
      <c r="C313" s="4">
        <f t="shared" si="16"/>
        <v>2026</v>
      </c>
      <c r="D313" s="4" t="str">
        <f t="shared" si="17"/>
        <v>August</v>
      </c>
      <c r="E313" s="4" t="str">
        <f t="shared" si="18"/>
        <v>Wednesday</v>
      </c>
      <c r="F313" s="4" t="s">
        <v>626</v>
      </c>
      <c r="G313" s="4">
        <f t="shared" si="19"/>
        <v>17</v>
      </c>
      <c r="H313" s="4" t="s">
        <v>62</v>
      </c>
      <c r="I313" s="4" t="s">
        <v>63</v>
      </c>
      <c r="J313" s="4">
        <v>2</v>
      </c>
      <c r="K313" s="5">
        <v>10</v>
      </c>
      <c r="L313" s="4" t="s">
        <v>26</v>
      </c>
      <c r="M313" s="4" t="s">
        <v>44</v>
      </c>
      <c r="N313" s="5">
        <v>20</v>
      </c>
    </row>
    <row r="314" spans="1:14">
      <c r="A314" t="s">
        <v>627</v>
      </c>
      <c r="B314" s="4" t="s">
        <v>605</v>
      </c>
      <c r="C314" s="4">
        <f t="shared" si="16"/>
        <v>2026</v>
      </c>
      <c r="D314" s="4" t="str">
        <f t="shared" si="17"/>
        <v>August</v>
      </c>
      <c r="E314" s="4" t="str">
        <f t="shared" si="18"/>
        <v>Wednesday</v>
      </c>
      <c r="F314" s="4" t="s">
        <v>628</v>
      </c>
      <c r="G314" s="4">
        <f t="shared" si="19"/>
        <v>17</v>
      </c>
      <c r="H314" s="4" t="s">
        <v>72</v>
      </c>
      <c r="I314" s="4" t="s">
        <v>14</v>
      </c>
      <c r="J314" s="4">
        <v>2</v>
      </c>
      <c r="K314" s="5">
        <v>14</v>
      </c>
      <c r="L314" s="4" t="s">
        <v>15</v>
      </c>
      <c r="M314" s="4" t="s">
        <v>16</v>
      </c>
      <c r="N314" s="5">
        <v>28</v>
      </c>
    </row>
    <row r="315" spans="1:14">
      <c r="A315" t="s">
        <v>629</v>
      </c>
      <c r="B315" s="4" t="s">
        <v>605</v>
      </c>
      <c r="C315" s="4">
        <f t="shared" si="16"/>
        <v>2026</v>
      </c>
      <c r="D315" s="4" t="str">
        <f t="shared" si="17"/>
        <v>August</v>
      </c>
      <c r="E315" s="4" t="str">
        <f t="shared" si="18"/>
        <v>Wednesday</v>
      </c>
      <c r="F315" s="4" t="s">
        <v>630</v>
      </c>
      <c r="G315" s="4">
        <f t="shared" si="19"/>
        <v>18</v>
      </c>
      <c r="H315" s="4" t="s">
        <v>72</v>
      </c>
      <c r="I315" s="4" t="s">
        <v>14</v>
      </c>
      <c r="J315" s="4">
        <v>2</v>
      </c>
      <c r="K315" s="5">
        <v>14</v>
      </c>
      <c r="L315" s="4" t="s">
        <v>26</v>
      </c>
      <c r="M315" s="4" t="s">
        <v>44</v>
      </c>
      <c r="N315" s="5">
        <v>28</v>
      </c>
    </row>
    <row r="316" spans="1:14">
      <c r="A316" t="s">
        <v>631</v>
      </c>
      <c r="B316" s="4" t="s">
        <v>605</v>
      </c>
      <c r="C316" s="4">
        <f t="shared" si="16"/>
        <v>2026</v>
      </c>
      <c r="D316" s="4" t="str">
        <f t="shared" si="17"/>
        <v>August</v>
      </c>
      <c r="E316" s="4" t="str">
        <f t="shared" si="18"/>
        <v>Wednesday</v>
      </c>
      <c r="F316" s="4" t="s">
        <v>632</v>
      </c>
      <c r="G316" s="4">
        <f t="shared" si="19"/>
        <v>18</v>
      </c>
      <c r="H316" s="4" t="s">
        <v>38</v>
      </c>
      <c r="I316" s="4" t="s">
        <v>14</v>
      </c>
      <c r="J316" s="4">
        <v>1</v>
      </c>
      <c r="K316" s="5">
        <v>9</v>
      </c>
      <c r="L316" s="4" t="s">
        <v>41</v>
      </c>
      <c r="M316" s="4" t="s">
        <v>16</v>
      </c>
      <c r="N316" s="5">
        <v>9</v>
      </c>
    </row>
    <row r="317" spans="1:14">
      <c r="A317" t="s">
        <v>633</v>
      </c>
      <c r="B317" s="4" t="s">
        <v>605</v>
      </c>
      <c r="C317" s="4">
        <f t="shared" si="16"/>
        <v>2026</v>
      </c>
      <c r="D317" s="4" t="str">
        <f t="shared" si="17"/>
        <v>August</v>
      </c>
      <c r="E317" s="4" t="str">
        <f t="shared" si="18"/>
        <v>Wednesday</v>
      </c>
      <c r="F317" s="4" t="s">
        <v>634</v>
      </c>
      <c r="G317" s="4">
        <f t="shared" si="19"/>
        <v>19</v>
      </c>
      <c r="H317" s="4" t="s">
        <v>54</v>
      </c>
      <c r="I317" s="4" t="s">
        <v>30</v>
      </c>
      <c r="J317" s="4">
        <v>1</v>
      </c>
      <c r="K317" s="5">
        <v>8</v>
      </c>
      <c r="L317" s="4" t="s">
        <v>15</v>
      </c>
      <c r="M317" s="4" t="s">
        <v>16</v>
      </c>
      <c r="N317" s="5">
        <v>8</v>
      </c>
    </row>
    <row r="318" spans="1:14">
      <c r="A318" t="s">
        <v>635</v>
      </c>
      <c r="B318" s="4" t="s">
        <v>636</v>
      </c>
      <c r="C318" s="4">
        <f t="shared" si="16"/>
        <v>2026</v>
      </c>
      <c r="D318" s="4" t="str">
        <f t="shared" si="17"/>
        <v>August</v>
      </c>
      <c r="E318" s="4" t="str">
        <f t="shared" si="18"/>
        <v>Thursday</v>
      </c>
      <c r="F318" s="4" t="s">
        <v>637</v>
      </c>
      <c r="G318" s="4">
        <f t="shared" si="19"/>
        <v>10</v>
      </c>
      <c r="H318" s="4" t="s">
        <v>54</v>
      </c>
      <c r="I318" s="4" t="s">
        <v>30</v>
      </c>
      <c r="J318" s="4">
        <v>1</v>
      </c>
      <c r="K318" s="5">
        <v>8</v>
      </c>
      <c r="L318" s="4" t="s">
        <v>41</v>
      </c>
      <c r="M318" s="4" t="s">
        <v>16</v>
      </c>
      <c r="N318" s="5">
        <v>8</v>
      </c>
    </row>
    <row r="319" spans="1:14">
      <c r="A319" t="s">
        <v>638</v>
      </c>
      <c r="B319" s="4" t="s">
        <v>636</v>
      </c>
      <c r="C319" s="4">
        <f t="shared" si="16"/>
        <v>2026</v>
      </c>
      <c r="D319" s="4" t="str">
        <f t="shared" si="17"/>
        <v>August</v>
      </c>
      <c r="E319" s="4" t="str">
        <f t="shared" si="18"/>
        <v>Thursday</v>
      </c>
      <c r="F319" s="4" t="s">
        <v>639</v>
      </c>
      <c r="G319" s="4">
        <f t="shared" si="19"/>
        <v>10</v>
      </c>
      <c r="H319" s="4" t="s">
        <v>51</v>
      </c>
      <c r="I319" s="4" t="s">
        <v>14</v>
      </c>
      <c r="J319" s="4">
        <v>1</v>
      </c>
      <c r="K319" s="5">
        <v>7</v>
      </c>
      <c r="L319" s="4" t="s">
        <v>26</v>
      </c>
      <c r="M319" s="4" t="s">
        <v>16</v>
      </c>
      <c r="N319" s="5">
        <v>7</v>
      </c>
    </row>
    <row r="320" spans="1:14">
      <c r="A320" t="s">
        <v>640</v>
      </c>
      <c r="B320" s="4" t="s">
        <v>636</v>
      </c>
      <c r="C320" s="4">
        <f t="shared" si="16"/>
        <v>2026</v>
      </c>
      <c r="D320" s="4" t="str">
        <f t="shared" si="17"/>
        <v>August</v>
      </c>
      <c r="E320" s="4" t="str">
        <f t="shared" si="18"/>
        <v>Thursday</v>
      </c>
      <c r="F320" s="4" t="s">
        <v>641</v>
      </c>
      <c r="G320" s="4">
        <f t="shared" si="19"/>
        <v>11</v>
      </c>
      <c r="H320" s="4" t="s">
        <v>72</v>
      </c>
      <c r="I320" s="4" t="s">
        <v>14</v>
      </c>
      <c r="J320" s="4">
        <v>1</v>
      </c>
      <c r="K320" s="5">
        <v>14</v>
      </c>
      <c r="L320" s="4" t="s">
        <v>15</v>
      </c>
      <c r="M320" s="4" t="s">
        <v>16</v>
      </c>
      <c r="N320" s="5">
        <v>14</v>
      </c>
    </row>
    <row r="321" spans="1:14">
      <c r="A321" t="s">
        <v>642</v>
      </c>
      <c r="B321" s="4" t="s">
        <v>636</v>
      </c>
      <c r="C321" s="4">
        <f t="shared" si="16"/>
        <v>2026</v>
      </c>
      <c r="D321" s="4" t="str">
        <f t="shared" si="17"/>
        <v>August</v>
      </c>
      <c r="E321" s="4" t="str">
        <f t="shared" si="18"/>
        <v>Thursday</v>
      </c>
      <c r="F321" s="4" t="s">
        <v>221</v>
      </c>
      <c r="G321" s="4">
        <f t="shared" si="19"/>
        <v>11</v>
      </c>
      <c r="H321" s="4" t="s">
        <v>24</v>
      </c>
      <c r="I321" s="4" t="s">
        <v>25</v>
      </c>
      <c r="J321" s="4">
        <v>2</v>
      </c>
      <c r="K321" s="5">
        <v>14</v>
      </c>
      <c r="L321" s="4" t="s">
        <v>26</v>
      </c>
      <c r="M321" s="4" t="s">
        <v>16</v>
      </c>
      <c r="N321" s="5">
        <v>28</v>
      </c>
    </row>
    <row r="322" spans="1:14">
      <c r="A322" t="s">
        <v>643</v>
      </c>
      <c r="B322" s="4" t="s">
        <v>636</v>
      </c>
      <c r="C322" s="4">
        <f t="shared" si="16"/>
        <v>2026</v>
      </c>
      <c r="D322" s="4" t="str">
        <f t="shared" si="17"/>
        <v>August</v>
      </c>
      <c r="E322" s="4" t="str">
        <f t="shared" si="18"/>
        <v>Thursday</v>
      </c>
      <c r="F322" s="4" t="s">
        <v>644</v>
      </c>
      <c r="G322" s="4">
        <f t="shared" si="19"/>
        <v>12</v>
      </c>
      <c r="H322" s="4" t="s">
        <v>38</v>
      </c>
      <c r="I322" s="4" t="s">
        <v>14</v>
      </c>
      <c r="J322" s="4">
        <v>1</v>
      </c>
      <c r="K322" s="5">
        <v>9</v>
      </c>
      <c r="L322" s="4" t="s">
        <v>26</v>
      </c>
      <c r="M322" s="4" t="s">
        <v>44</v>
      </c>
      <c r="N322" s="5">
        <v>9</v>
      </c>
    </row>
    <row r="323" spans="1:14">
      <c r="A323" t="s">
        <v>645</v>
      </c>
      <c r="B323" s="4" t="s">
        <v>636</v>
      </c>
      <c r="C323" s="4">
        <f t="shared" ref="C323:C386" si="20">YEAR(B323)</f>
        <v>2026</v>
      </c>
      <c r="D323" s="4" t="str">
        <f t="shared" ref="D323:D386" si="21">TEXT(B323,"mmmm")</f>
        <v>August</v>
      </c>
      <c r="E323" s="4" t="str">
        <f t="shared" ref="E323:E386" si="22">TEXT(B323,"dddd")</f>
        <v>Thursday</v>
      </c>
      <c r="F323" s="4" t="s">
        <v>646</v>
      </c>
      <c r="G323" s="4">
        <f t="shared" ref="G323:G386" si="23">HOUR(F323)</f>
        <v>12</v>
      </c>
      <c r="H323" s="4" t="s">
        <v>38</v>
      </c>
      <c r="I323" s="4" t="s">
        <v>14</v>
      </c>
      <c r="J323" s="4">
        <v>2</v>
      </c>
      <c r="K323" s="5">
        <v>9</v>
      </c>
      <c r="L323" s="4" t="s">
        <v>26</v>
      </c>
      <c r="M323" s="4" t="s">
        <v>44</v>
      </c>
      <c r="N323" s="5">
        <v>18</v>
      </c>
    </row>
    <row r="324" spans="1:14">
      <c r="A324" t="s">
        <v>647</v>
      </c>
      <c r="B324" s="4" t="s">
        <v>636</v>
      </c>
      <c r="C324" s="4">
        <f t="shared" si="20"/>
        <v>2026</v>
      </c>
      <c r="D324" s="4" t="str">
        <f t="shared" si="21"/>
        <v>August</v>
      </c>
      <c r="E324" s="4" t="str">
        <f t="shared" si="22"/>
        <v>Thursday</v>
      </c>
      <c r="F324" s="4" t="s">
        <v>358</v>
      </c>
      <c r="G324" s="4">
        <f t="shared" si="23"/>
        <v>14</v>
      </c>
      <c r="H324" s="4" t="s">
        <v>62</v>
      </c>
      <c r="I324" s="4" t="s">
        <v>63</v>
      </c>
      <c r="J324" s="4">
        <v>1</v>
      </c>
      <c r="K324" s="5">
        <v>10</v>
      </c>
      <c r="L324" s="4" t="s">
        <v>26</v>
      </c>
      <c r="M324" s="4" t="s">
        <v>16</v>
      </c>
      <c r="N324" s="5">
        <v>10</v>
      </c>
    </row>
    <row r="325" spans="1:14">
      <c r="A325" t="s">
        <v>648</v>
      </c>
      <c r="B325" s="4" t="s">
        <v>636</v>
      </c>
      <c r="C325" s="4">
        <f t="shared" si="20"/>
        <v>2026</v>
      </c>
      <c r="D325" s="4" t="str">
        <f t="shared" si="21"/>
        <v>August</v>
      </c>
      <c r="E325" s="4" t="str">
        <f t="shared" si="22"/>
        <v>Thursday</v>
      </c>
      <c r="F325" s="4" t="s">
        <v>649</v>
      </c>
      <c r="G325" s="4">
        <f t="shared" si="23"/>
        <v>14</v>
      </c>
      <c r="H325" s="4" t="s">
        <v>105</v>
      </c>
      <c r="I325" s="4" t="s">
        <v>25</v>
      </c>
      <c r="J325" s="4">
        <v>2</v>
      </c>
      <c r="K325" s="5">
        <v>12</v>
      </c>
      <c r="L325" s="4" t="s">
        <v>26</v>
      </c>
      <c r="M325" s="4" t="s">
        <v>44</v>
      </c>
      <c r="N325" s="5">
        <v>24</v>
      </c>
    </row>
    <row r="326" spans="1:14">
      <c r="A326" t="s">
        <v>650</v>
      </c>
      <c r="B326" s="4" t="s">
        <v>636</v>
      </c>
      <c r="C326" s="4">
        <f t="shared" si="20"/>
        <v>2026</v>
      </c>
      <c r="D326" s="4" t="str">
        <f t="shared" si="21"/>
        <v>August</v>
      </c>
      <c r="E326" s="4" t="str">
        <f t="shared" si="22"/>
        <v>Thursday</v>
      </c>
      <c r="F326" s="4" t="s">
        <v>651</v>
      </c>
      <c r="G326" s="4">
        <f t="shared" si="23"/>
        <v>15</v>
      </c>
      <c r="H326" s="4" t="s">
        <v>54</v>
      </c>
      <c r="I326" s="4" t="s">
        <v>30</v>
      </c>
      <c r="J326" s="4">
        <v>1</v>
      </c>
      <c r="K326" s="5">
        <v>8</v>
      </c>
      <c r="L326" s="4" t="s">
        <v>15</v>
      </c>
      <c r="M326" s="4" t="s">
        <v>16</v>
      </c>
      <c r="N326" s="5">
        <v>8</v>
      </c>
    </row>
    <row r="327" spans="1:14">
      <c r="A327" t="s">
        <v>652</v>
      </c>
      <c r="B327" s="4" t="s">
        <v>636</v>
      </c>
      <c r="C327" s="4">
        <f t="shared" si="20"/>
        <v>2026</v>
      </c>
      <c r="D327" s="4" t="str">
        <f t="shared" si="21"/>
        <v>August</v>
      </c>
      <c r="E327" s="4" t="str">
        <f t="shared" si="22"/>
        <v>Thursday</v>
      </c>
      <c r="F327" s="4" t="s">
        <v>653</v>
      </c>
      <c r="G327" s="4">
        <f t="shared" si="23"/>
        <v>19</v>
      </c>
      <c r="H327" s="4" t="s">
        <v>13</v>
      </c>
      <c r="I327" s="4" t="s">
        <v>14</v>
      </c>
      <c r="J327" s="4">
        <v>1</v>
      </c>
      <c r="K327" s="5">
        <v>15</v>
      </c>
      <c r="L327" s="4" t="s">
        <v>26</v>
      </c>
      <c r="M327" s="4" t="s">
        <v>16</v>
      </c>
      <c r="N327" s="5">
        <v>15</v>
      </c>
    </row>
    <row r="328" spans="1:14">
      <c r="A328" t="s">
        <v>654</v>
      </c>
      <c r="B328" s="4" t="s">
        <v>636</v>
      </c>
      <c r="C328" s="4">
        <f t="shared" si="20"/>
        <v>2026</v>
      </c>
      <c r="D328" s="4" t="str">
        <f t="shared" si="21"/>
        <v>August</v>
      </c>
      <c r="E328" s="4" t="str">
        <f t="shared" si="22"/>
        <v>Thursday</v>
      </c>
      <c r="F328" s="4" t="s">
        <v>655</v>
      </c>
      <c r="G328" s="4">
        <f t="shared" si="23"/>
        <v>19</v>
      </c>
      <c r="H328" s="4" t="s">
        <v>115</v>
      </c>
      <c r="I328" s="4" t="s">
        <v>63</v>
      </c>
      <c r="J328" s="4">
        <v>1</v>
      </c>
      <c r="K328" s="5">
        <v>16</v>
      </c>
      <c r="L328" s="4" t="s">
        <v>15</v>
      </c>
      <c r="M328" s="4" t="s">
        <v>16</v>
      </c>
      <c r="N328" s="5">
        <v>16</v>
      </c>
    </row>
    <row r="329" spans="1:14">
      <c r="A329" t="s">
        <v>656</v>
      </c>
      <c r="B329" s="4" t="s">
        <v>636</v>
      </c>
      <c r="C329" s="4">
        <f t="shared" si="20"/>
        <v>2026</v>
      </c>
      <c r="D329" s="4" t="str">
        <f t="shared" si="21"/>
        <v>August</v>
      </c>
      <c r="E329" s="4" t="str">
        <f t="shared" si="22"/>
        <v>Thursday</v>
      </c>
      <c r="F329" s="4" t="s">
        <v>657</v>
      </c>
      <c r="G329" s="4">
        <f t="shared" si="23"/>
        <v>19</v>
      </c>
      <c r="H329" s="4" t="s">
        <v>51</v>
      </c>
      <c r="I329" s="4" t="s">
        <v>14</v>
      </c>
      <c r="J329" s="4">
        <v>1</v>
      </c>
      <c r="K329" s="5">
        <v>7</v>
      </c>
      <c r="L329" s="4" t="s">
        <v>26</v>
      </c>
      <c r="M329" s="4" t="s">
        <v>44</v>
      </c>
      <c r="N329" s="5">
        <v>7</v>
      </c>
    </row>
    <row r="330" spans="1:14">
      <c r="A330" s="4" t="s">
        <v>658</v>
      </c>
      <c r="B330" s="4" t="s">
        <v>636</v>
      </c>
      <c r="C330" s="4">
        <f t="shared" si="20"/>
        <v>2026</v>
      </c>
      <c r="D330" s="4" t="str">
        <f t="shared" si="21"/>
        <v>August</v>
      </c>
      <c r="E330" s="4" t="str">
        <f t="shared" si="22"/>
        <v>Thursday</v>
      </c>
      <c r="F330" s="4" t="s">
        <v>659</v>
      </c>
      <c r="G330" s="4">
        <f t="shared" si="23"/>
        <v>19</v>
      </c>
      <c r="H330" s="4" t="s">
        <v>13</v>
      </c>
      <c r="I330" s="4" t="s">
        <v>14</v>
      </c>
      <c r="J330" s="4">
        <v>1</v>
      </c>
      <c r="K330" s="5">
        <v>15</v>
      </c>
      <c r="L330" s="4" t="s">
        <v>15</v>
      </c>
      <c r="M330" s="4" t="s">
        <v>44</v>
      </c>
      <c r="N330" s="5">
        <v>15</v>
      </c>
    </row>
    <row r="331" spans="1:14">
      <c r="A331" s="4" t="s">
        <v>660</v>
      </c>
      <c r="B331" s="4" t="s">
        <v>661</v>
      </c>
      <c r="C331" s="4">
        <f t="shared" si="20"/>
        <v>2026</v>
      </c>
      <c r="D331" s="4" t="str">
        <f t="shared" si="21"/>
        <v>August</v>
      </c>
      <c r="E331" s="4" t="str">
        <f t="shared" si="22"/>
        <v>Friday</v>
      </c>
      <c r="F331" s="4" t="s">
        <v>662</v>
      </c>
      <c r="G331" s="4">
        <f t="shared" si="23"/>
        <v>8</v>
      </c>
      <c r="H331" s="4" t="s">
        <v>54</v>
      </c>
      <c r="I331" s="4" t="s">
        <v>30</v>
      </c>
      <c r="J331" s="4">
        <v>3</v>
      </c>
      <c r="K331" s="5">
        <v>8</v>
      </c>
      <c r="L331" s="4" t="s">
        <v>41</v>
      </c>
      <c r="M331" s="4" t="s">
        <v>44</v>
      </c>
      <c r="N331" s="5">
        <v>24</v>
      </c>
    </row>
    <row r="332" spans="1:14">
      <c r="A332" s="4" t="s">
        <v>663</v>
      </c>
      <c r="B332" s="4" t="s">
        <v>661</v>
      </c>
      <c r="C332" s="4">
        <f t="shared" si="20"/>
        <v>2026</v>
      </c>
      <c r="D332" s="4" t="str">
        <f t="shared" si="21"/>
        <v>August</v>
      </c>
      <c r="E332" s="4" t="str">
        <f t="shared" si="22"/>
        <v>Friday</v>
      </c>
      <c r="F332" s="4" t="s">
        <v>664</v>
      </c>
      <c r="G332" s="4">
        <f t="shared" si="23"/>
        <v>9</v>
      </c>
      <c r="H332" s="4" t="s">
        <v>35</v>
      </c>
      <c r="I332" s="4" t="s">
        <v>14</v>
      </c>
      <c r="J332" s="4">
        <v>2</v>
      </c>
      <c r="K332" s="5">
        <v>13</v>
      </c>
      <c r="L332" s="4" t="s">
        <v>15</v>
      </c>
      <c r="M332" s="4" t="s">
        <v>44</v>
      </c>
      <c r="N332" s="5">
        <v>26</v>
      </c>
    </row>
    <row r="333" spans="1:14">
      <c r="A333" s="4" t="s">
        <v>665</v>
      </c>
      <c r="B333" s="4" t="s">
        <v>661</v>
      </c>
      <c r="C333" s="4">
        <f t="shared" si="20"/>
        <v>2026</v>
      </c>
      <c r="D333" s="4" t="str">
        <f t="shared" si="21"/>
        <v>August</v>
      </c>
      <c r="E333" s="4" t="str">
        <f t="shared" si="22"/>
        <v>Friday</v>
      </c>
      <c r="F333" s="4" t="s">
        <v>666</v>
      </c>
      <c r="G333" s="4">
        <f t="shared" si="23"/>
        <v>10</v>
      </c>
      <c r="H333" s="4" t="s">
        <v>38</v>
      </c>
      <c r="I333" s="4" t="s">
        <v>14</v>
      </c>
      <c r="J333" s="4">
        <v>2</v>
      </c>
      <c r="K333" s="5">
        <v>9</v>
      </c>
      <c r="L333" s="4" t="s">
        <v>15</v>
      </c>
      <c r="M333" s="4" t="s">
        <v>44</v>
      </c>
      <c r="N333" s="5">
        <v>18</v>
      </c>
    </row>
    <row r="334" spans="1:14">
      <c r="A334" s="4" t="s">
        <v>667</v>
      </c>
      <c r="B334" s="4" t="s">
        <v>661</v>
      </c>
      <c r="C334" s="4">
        <f t="shared" si="20"/>
        <v>2026</v>
      </c>
      <c r="D334" s="4" t="str">
        <f t="shared" si="21"/>
        <v>August</v>
      </c>
      <c r="E334" s="4" t="str">
        <f t="shared" si="22"/>
        <v>Friday</v>
      </c>
      <c r="F334" s="4" t="s">
        <v>668</v>
      </c>
      <c r="G334" s="4">
        <f t="shared" si="23"/>
        <v>12</v>
      </c>
      <c r="H334" s="4" t="s">
        <v>29</v>
      </c>
      <c r="I334" s="4" t="s">
        <v>30</v>
      </c>
      <c r="J334" s="4">
        <v>1</v>
      </c>
      <c r="K334" s="5">
        <v>9</v>
      </c>
      <c r="L334" s="4" t="s">
        <v>26</v>
      </c>
      <c r="M334" s="4" t="s">
        <v>16</v>
      </c>
      <c r="N334" s="5">
        <v>9</v>
      </c>
    </row>
    <row r="335" spans="1:14">
      <c r="A335" s="4" t="s">
        <v>669</v>
      </c>
      <c r="B335" s="4" t="s">
        <v>661</v>
      </c>
      <c r="C335" s="4">
        <f t="shared" si="20"/>
        <v>2026</v>
      </c>
      <c r="D335" s="4" t="str">
        <f t="shared" si="21"/>
        <v>August</v>
      </c>
      <c r="E335" s="4" t="str">
        <f t="shared" si="22"/>
        <v>Friday</v>
      </c>
      <c r="F335" s="4" t="s">
        <v>670</v>
      </c>
      <c r="G335" s="4">
        <f t="shared" si="23"/>
        <v>14</v>
      </c>
      <c r="H335" s="4" t="s">
        <v>24</v>
      </c>
      <c r="I335" s="4" t="s">
        <v>25</v>
      </c>
      <c r="J335" s="4">
        <v>1</v>
      </c>
      <c r="K335" s="5">
        <v>14</v>
      </c>
      <c r="L335" s="4" t="s">
        <v>26</v>
      </c>
      <c r="M335" s="4" t="s">
        <v>44</v>
      </c>
      <c r="N335" s="5">
        <v>14</v>
      </c>
    </row>
    <row r="336" spans="1:14">
      <c r="A336" s="4" t="s">
        <v>671</v>
      </c>
      <c r="B336" s="4" t="s">
        <v>661</v>
      </c>
      <c r="C336" s="4">
        <f t="shared" si="20"/>
        <v>2026</v>
      </c>
      <c r="D336" s="4" t="str">
        <f t="shared" si="21"/>
        <v>August</v>
      </c>
      <c r="E336" s="4" t="str">
        <f t="shared" si="22"/>
        <v>Friday</v>
      </c>
      <c r="F336" s="4" t="s">
        <v>672</v>
      </c>
      <c r="G336" s="4">
        <f t="shared" si="23"/>
        <v>15</v>
      </c>
      <c r="H336" s="4" t="s">
        <v>35</v>
      </c>
      <c r="I336" s="4" t="s">
        <v>14</v>
      </c>
      <c r="J336" s="4">
        <v>1</v>
      </c>
      <c r="K336" s="5">
        <v>13</v>
      </c>
      <c r="L336" s="4" t="s">
        <v>15</v>
      </c>
      <c r="M336" s="4" t="s">
        <v>44</v>
      </c>
      <c r="N336" s="5">
        <v>13</v>
      </c>
    </row>
    <row r="337" spans="1:14">
      <c r="A337" s="4" t="s">
        <v>673</v>
      </c>
      <c r="B337" s="4" t="s">
        <v>661</v>
      </c>
      <c r="C337" s="4">
        <f t="shared" si="20"/>
        <v>2026</v>
      </c>
      <c r="D337" s="4" t="str">
        <f t="shared" si="21"/>
        <v>August</v>
      </c>
      <c r="E337" s="4" t="str">
        <f t="shared" si="22"/>
        <v>Friday</v>
      </c>
      <c r="F337" s="4" t="s">
        <v>674</v>
      </c>
      <c r="G337" s="4">
        <f t="shared" si="23"/>
        <v>15</v>
      </c>
      <c r="H337" s="4" t="s">
        <v>21</v>
      </c>
      <c r="I337" s="4" t="s">
        <v>14</v>
      </c>
      <c r="J337" s="4">
        <v>1</v>
      </c>
      <c r="K337" s="5">
        <v>12</v>
      </c>
      <c r="L337" s="4" t="s">
        <v>26</v>
      </c>
      <c r="M337" s="4" t="s">
        <v>16</v>
      </c>
      <c r="N337" s="5">
        <v>12</v>
      </c>
    </row>
    <row r="338" spans="1:14">
      <c r="A338" s="4" t="s">
        <v>675</v>
      </c>
      <c r="B338" s="4" t="s">
        <v>661</v>
      </c>
      <c r="C338" s="4">
        <f t="shared" si="20"/>
        <v>2026</v>
      </c>
      <c r="D338" s="4" t="str">
        <f t="shared" si="21"/>
        <v>August</v>
      </c>
      <c r="E338" s="4" t="str">
        <f t="shared" si="22"/>
        <v>Friday</v>
      </c>
      <c r="F338" s="4" t="s">
        <v>676</v>
      </c>
      <c r="G338" s="4">
        <f t="shared" si="23"/>
        <v>17</v>
      </c>
      <c r="H338" s="4" t="s">
        <v>72</v>
      </c>
      <c r="I338" s="4" t="s">
        <v>14</v>
      </c>
      <c r="J338" s="4">
        <v>1</v>
      </c>
      <c r="K338" s="5">
        <v>14</v>
      </c>
      <c r="L338" s="4" t="s">
        <v>15</v>
      </c>
      <c r="M338" s="4" t="s">
        <v>44</v>
      </c>
      <c r="N338" s="5">
        <v>14</v>
      </c>
    </row>
    <row r="339" spans="1:14">
      <c r="A339" s="4" t="s">
        <v>677</v>
      </c>
      <c r="B339" s="4" t="s">
        <v>661</v>
      </c>
      <c r="C339" s="4">
        <f t="shared" si="20"/>
        <v>2026</v>
      </c>
      <c r="D339" s="4" t="str">
        <f t="shared" si="21"/>
        <v>August</v>
      </c>
      <c r="E339" s="4" t="str">
        <f t="shared" si="22"/>
        <v>Friday</v>
      </c>
      <c r="F339" s="4" t="s">
        <v>678</v>
      </c>
      <c r="G339" s="4">
        <f t="shared" si="23"/>
        <v>17</v>
      </c>
      <c r="H339" s="4" t="s">
        <v>35</v>
      </c>
      <c r="I339" s="4" t="s">
        <v>14</v>
      </c>
      <c r="J339" s="4">
        <v>1</v>
      </c>
      <c r="K339" s="5">
        <v>13</v>
      </c>
      <c r="L339" s="4" t="s">
        <v>26</v>
      </c>
      <c r="M339" s="4" t="s">
        <v>44</v>
      </c>
      <c r="N339" s="5">
        <v>13</v>
      </c>
    </row>
    <row r="340" spans="1:14">
      <c r="A340" s="4" t="s">
        <v>679</v>
      </c>
      <c r="B340" s="4" t="s">
        <v>661</v>
      </c>
      <c r="C340" s="4">
        <f t="shared" si="20"/>
        <v>2026</v>
      </c>
      <c r="D340" s="4" t="str">
        <f t="shared" si="21"/>
        <v>August</v>
      </c>
      <c r="E340" s="4" t="str">
        <f t="shared" si="22"/>
        <v>Friday</v>
      </c>
      <c r="F340" s="4" t="s">
        <v>680</v>
      </c>
      <c r="G340" s="4">
        <f t="shared" si="23"/>
        <v>19</v>
      </c>
      <c r="H340" s="4" t="s">
        <v>35</v>
      </c>
      <c r="I340" s="4" t="s">
        <v>14</v>
      </c>
      <c r="J340" s="4">
        <v>2</v>
      </c>
      <c r="K340" s="5">
        <v>13</v>
      </c>
      <c r="L340" s="4" t="s">
        <v>15</v>
      </c>
      <c r="M340" s="4" t="s">
        <v>16</v>
      </c>
      <c r="N340" s="5">
        <v>26</v>
      </c>
    </row>
    <row r="341" spans="1:14">
      <c r="A341" s="4" t="s">
        <v>681</v>
      </c>
      <c r="B341" s="4" t="s">
        <v>682</v>
      </c>
      <c r="C341" s="4">
        <f t="shared" si="20"/>
        <v>2026</v>
      </c>
      <c r="D341" s="4" t="str">
        <f t="shared" si="21"/>
        <v>August</v>
      </c>
      <c r="E341" s="4" t="str">
        <f t="shared" si="22"/>
        <v>Saturday</v>
      </c>
      <c r="F341" s="4" t="s">
        <v>683</v>
      </c>
      <c r="G341" s="4">
        <f t="shared" si="23"/>
        <v>8</v>
      </c>
      <c r="H341" s="4" t="s">
        <v>35</v>
      </c>
      <c r="I341" s="4" t="s">
        <v>14</v>
      </c>
      <c r="J341" s="4">
        <v>1</v>
      </c>
      <c r="K341" s="5">
        <v>13</v>
      </c>
      <c r="L341" s="4" t="s">
        <v>41</v>
      </c>
      <c r="M341" s="4" t="s">
        <v>16</v>
      </c>
      <c r="N341" s="5">
        <v>13</v>
      </c>
    </row>
    <row r="342" spans="1:14">
      <c r="A342" s="4" t="s">
        <v>684</v>
      </c>
      <c r="B342" s="4" t="s">
        <v>682</v>
      </c>
      <c r="C342" s="4">
        <f t="shared" si="20"/>
        <v>2026</v>
      </c>
      <c r="D342" s="4" t="str">
        <f t="shared" si="21"/>
        <v>August</v>
      </c>
      <c r="E342" s="4" t="str">
        <f t="shared" si="22"/>
        <v>Saturday</v>
      </c>
      <c r="F342" s="4" t="s">
        <v>685</v>
      </c>
      <c r="G342" s="4">
        <f t="shared" si="23"/>
        <v>9</v>
      </c>
      <c r="H342" s="4" t="s">
        <v>35</v>
      </c>
      <c r="I342" s="4" t="s">
        <v>14</v>
      </c>
      <c r="J342" s="4">
        <v>1</v>
      </c>
      <c r="K342" s="5">
        <v>13</v>
      </c>
      <c r="L342" s="4" t="s">
        <v>26</v>
      </c>
      <c r="M342" s="4" t="s">
        <v>16</v>
      </c>
      <c r="N342" s="5">
        <v>13</v>
      </c>
    </row>
    <row r="343" spans="1:14">
      <c r="A343" s="4" t="s">
        <v>686</v>
      </c>
      <c r="B343" s="4" t="s">
        <v>682</v>
      </c>
      <c r="C343" s="4">
        <f t="shared" si="20"/>
        <v>2026</v>
      </c>
      <c r="D343" s="4" t="str">
        <f t="shared" si="21"/>
        <v>August</v>
      </c>
      <c r="E343" s="4" t="str">
        <f t="shared" si="22"/>
        <v>Saturday</v>
      </c>
      <c r="F343" s="4" t="s">
        <v>371</v>
      </c>
      <c r="G343" s="4">
        <f t="shared" si="23"/>
        <v>10</v>
      </c>
      <c r="H343" s="4" t="s">
        <v>115</v>
      </c>
      <c r="I343" s="4" t="s">
        <v>63</v>
      </c>
      <c r="J343" s="4">
        <v>1</v>
      </c>
      <c r="K343" s="5">
        <v>16</v>
      </c>
      <c r="L343" s="4" t="s">
        <v>26</v>
      </c>
      <c r="M343" s="4" t="s">
        <v>44</v>
      </c>
      <c r="N343" s="5">
        <v>16</v>
      </c>
    </row>
    <row r="344" spans="1:14">
      <c r="A344" s="4" t="s">
        <v>687</v>
      </c>
      <c r="B344" s="4" t="s">
        <v>682</v>
      </c>
      <c r="C344" s="4">
        <f t="shared" si="20"/>
        <v>2026</v>
      </c>
      <c r="D344" s="4" t="str">
        <f t="shared" si="21"/>
        <v>August</v>
      </c>
      <c r="E344" s="4" t="str">
        <f t="shared" si="22"/>
        <v>Saturday</v>
      </c>
      <c r="F344" s="4" t="s">
        <v>688</v>
      </c>
      <c r="G344" s="4">
        <f t="shared" si="23"/>
        <v>12</v>
      </c>
      <c r="H344" s="4" t="s">
        <v>13</v>
      </c>
      <c r="I344" s="4" t="s">
        <v>14</v>
      </c>
      <c r="J344" s="4">
        <v>2</v>
      </c>
      <c r="K344" s="5">
        <v>15</v>
      </c>
      <c r="L344" s="4" t="s">
        <v>26</v>
      </c>
      <c r="M344" s="4" t="s">
        <v>44</v>
      </c>
      <c r="N344" s="5">
        <v>30</v>
      </c>
    </row>
    <row r="345" spans="1:14">
      <c r="A345" s="4" t="s">
        <v>689</v>
      </c>
      <c r="B345" s="4" t="s">
        <v>682</v>
      </c>
      <c r="C345" s="4">
        <f t="shared" si="20"/>
        <v>2026</v>
      </c>
      <c r="D345" s="4" t="str">
        <f t="shared" si="21"/>
        <v>August</v>
      </c>
      <c r="E345" s="4" t="str">
        <f t="shared" si="22"/>
        <v>Saturday</v>
      </c>
      <c r="F345" s="4" t="s">
        <v>690</v>
      </c>
      <c r="G345" s="4">
        <f t="shared" si="23"/>
        <v>13</v>
      </c>
      <c r="H345" s="4" t="s">
        <v>38</v>
      </c>
      <c r="I345" s="4" t="s">
        <v>14</v>
      </c>
      <c r="J345" s="4">
        <v>2</v>
      </c>
      <c r="K345" s="5">
        <v>9</v>
      </c>
      <c r="L345" s="4" t="s">
        <v>41</v>
      </c>
      <c r="M345" s="4" t="s">
        <v>16</v>
      </c>
      <c r="N345" s="5">
        <v>18</v>
      </c>
    </row>
    <row r="346" spans="1:14">
      <c r="A346" s="4" t="s">
        <v>691</v>
      </c>
      <c r="B346" s="4" t="s">
        <v>682</v>
      </c>
      <c r="C346" s="4">
        <f t="shared" si="20"/>
        <v>2026</v>
      </c>
      <c r="D346" s="4" t="str">
        <f t="shared" si="21"/>
        <v>August</v>
      </c>
      <c r="E346" s="4" t="str">
        <f t="shared" si="22"/>
        <v>Saturday</v>
      </c>
      <c r="F346" s="4" t="s">
        <v>692</v>
      </c>
      <c r="G346" s="4">
        <f t="shared" si="23"/>
        <v>13</v>
      </c>
      <c r="H346" s="4" t="s">
        <v>62</v>
      </c>
      <c r="I346" s="4" t="s">
        <v>63</v>
      </c>
      <c r="J346" s="4">
        <v>1</v>
      </c>
      <c r="K346" s="5">
        <v>10</v>
      </c>
      <c r="L346" s="4" t="s">
        <v>26</v>
      </c>
      <c r="M346" s="4" t="s">
        <v>44</v>
      </c>
      <c r="N346" s="5">
        <v>10</v>
      </c>
    </row>
    <row r="347" spans="1:14">
      <c r="A347" s="4" t="s">
        <v>693</v>
      </c>
      <c r="B347" s="4" t="s">
        <v>682</v>
      </c>
      <c r="C347" s="4">
        <f t="shared" si="20"/>
        <v>2026</v>
      </c>
      <c r="D347" s="4" t="str">
        <f t="shared" si="21"/>
        <v>August</v>
      </c>
      <c r="E347" s="4" t="str">
        <f t="shared" si="22"/>
        <v>Saturday</v>
      </c>
      <c r="F347" s="4" t="s">
        <v>694</v>
      </c>
      <c r="G347" s="4">
        <f t="shared" si="23"/>
        <v>14</v>
      </c>
      <c r="H347" s="4" t="s">
        <v>62</v>
      </c>
      <c r="I347" s="4" t="s">
        <v>63</v>
      </c>
      <c r="J347" s="4">
        <v>1</v>
      </c>
      <c r="K347" s="5">
        <v>10</v>
      </c>
      <c r="L347" s="4" t="s">
        <v>15</v>
      </c>
      <c r="M347" s="4" t="s">
        <v>16</v>
      </c>
      <c r="N347" s="5">
        <v>10</v>
      </c>
    </row>
    <row r="348" spans="1:14">
      <c r="A348" s="4" t="s">
        <v>695</v>
      </c>
      <c r="B348" s="4" t="s">
        <v>682</v>
      </c>
      <c r="C348" s="4">
        <f t="shared" si="20"/>
        <v>2026</v>
      </c>
      <c r="D348" s="4" t="str">
        <f t="shared" si="21"/>
        <v>August</v>
      </c>
      <c r="E348" s="4" t="str">
        <f t="shared" si="22"/>
        <v>Saturday</v>
      </c>
      <c r="F348" s="4" t="s">
        <v>624</v>
      </c>
      <c r="G348" s="4">
        <f t="shared" si="23"/>
        <v>16</v>
      </c>
      <c r="H348" s="4" t="s">
        <v>21</v>
      </c>
      <c r="I348" s="4" t="s">
        <v>14</v>
      </c>
      <c r="J348" s="4">
        <v>1</v>
      </c>
      <c r="K348" s="5">
        <v>12</v>
      </c>
      <c r="L348" s="4" t="s">
        <v>41</v>
      </c>
      <c r="M348" s="4" t="s">
        <v>44</v>
      </c>
      <c r="N348" s="5">
        <v>12</v>
      </c>
    </row>
    <row r="349" spans="1:14">
      <c r="A349" s="4" t="s">
        <v>696</v>
      </c>
      <c r="B349" s="4" t="s">
        <v>697</v>
      </c>
      <c r="C349" s="4">
        <f t="shared" si="20"/>
        <v>2026</v>
      </c>
      <c r="D349" s="4" t="str">
        <f t="shared" si="21"/>
        <v>August</v>
      </c>
      <c r="E349" s="4" t="str">
        <f t="shared" si="22"/>
        <v>Sunday</v>
      </c>
      <c r="F349" s="4" t="s">
        <v>698</v>
      </c>
      <c r="G349" s="4">
        <f t="shared" si="23"/>
        <v>9</v>
      </c>
      <c r="H349" s="4" t="s">
        <v>72</v>
      </c>
      <c r="I349" s="4" t="s">
        <v>14</v>
      </c>
      <c r="J349" s="4">
        <v>1</v>
      </c>
      <c r="K349" s="5">
        <v>14</v>
      </c>
      <c r="L349" s="4" t="s">
        <v>26</v>
      </c>
      <c r="M349" s="4" t="s">
        <v>16</v>
      </c>
      <c r="N349" s="5">
        <v>14</v>
      </c>
    </row>
    <row r="350" spans="1:14">
      <c r="A350" s="4" t="s">
        <v>699</v>
      </c>
      <c r="B350" s="4" t="s">
        <v>697</v>
      </c>
      <c r="C350" s="4">
        <f t="shared" si="20"/>
        <v>2026</v>
      </c>
      <c r="D350" s="4" t="str">
        <f t="shared" si="21"/>
        <v>August</v>
      </c>
      <c r="E350" s="4" t="str">
        <f t="shared" si="22"/>
        <v>Sunday</v>
      </c>
      <c r="F350" s="4" t="s">
        <v>114</v>
      </c>
      <c r="G350" s="4">
        <f t="shared" si="23"/>
        <v>10</v>
      </c>
      <c r="H350" s="4" t="s">
        <v>72</v>
      </c>
      <c r="I350" s="4" t="s">
        <v>14</v>
      </c>
      <c r="J350" s="4">
        <v>2</v>
      </c>
      <c r="K350" s="5">
        <v>14</v>
      </c>
      <c r="L350" s="4" t="s">
        <v>26</v>
      </c>
      <c r="M350" s="4" t="s">
        <v>16</v>
      </c>
      <c r="N350" s="5">
        <v>28</v>
      </c>
    </row>
    <row r="351" spans="1:14">
      <c r="A351" s="4" t="s">
        <v>700</v>
      </c>
      <c r="B351" s="4" t="s">
        <v>697</v>
      </c>
      <c r="C351" s="4">
        <f t="shared" si="20"/>
        <v>2026</v>
      </c>
      <c r="D351" s="4" t="str">
        <f t="shared" si="21"/>
        <v>August</v>
      </c>
      <c r="E351" s="4" t="str">
        <f t="shared" si="22"/>
        <v>Sunday</v>
      </c>
      <c r="F351" s="4" t="s">
        <v>701</v>
      </c>
      <c r="G351" s="4">
        <f t="shared" si="23"/>
        <v>10</v>
      </c>
      <c r="H351" s="4" t="s">
        <v>38</v>
      </c>
      <c r="I351" s="4" t="s">
        <v>14</v>
      </c>
      <c r="J351" s="4">
        <v>2</v>
      </c>
      <c r="K351" s="5">
        <v>9</v>
      </c>
      <c r="L351" s="4" t="s">
        <v>26</v>
      </c>
      <c r="M351" s="4" t="s">
        <v>44</v>
      </c>
      <c r="N351" s="5">
        <v>18</v>
      </c>
    </row>
    <row r="352" spans="1:14">
      <c r="A352" s="4" t="s">
        <v>702</v>
      </c>
      <c r="B352" s="4" t="s">
        <v>697</v>
      </c>
      <c r="C352" s="4">
        <f t="shared" si="20"/>
        <v>2026</v>
      </c>
      <c r="D352" s="4" t="str">
        <f t="shared" si="21"/>
        <v>August</v>
      </c>
      <c r="E352" s="4" t="str">
        <f t="shared" si="22"/>
        <v>Sunday</v>
      </c>
      <c r="F352" s="4" t="s">
        <v>703</v>
      </c>
      <c r="G352" s="4">
        <f t="shared" si="23"/>
        <v>11</v>
      </c>
      <c r="H352" s="4" t="s">
        <v>21</v>
      </c>
      <c r="I352" s="4" t="s">
        <v>14</v>
      </c>
      <c r="J352" s="4">
        <v>1</v>
      </c>
      <c r="K352" s="5">
        <v>12</v>
      </c>
      <c r="L352" s="4" t="s">
        <v>26</v>
      </c>
      <c r="M352" s="4" t="s">
        <v>44</v>
      </c>
      <c r="N352" s="5">
        <v>12</v>
      </c>
    </row>
    <row r="353" spans="1:14">
      <c r="A353" s="4" t="s">
        <v>704</v>
      </c>
      <c r="B353" s="4" t="s">
        <v>697</v>
      </c>
      <c r="C353" s="4">
        <f t="shared" si="20"/>
        <v>2026</v>
      </c>
      <c r="D353" s="4" t="str">
        <f t="shared" si="21"/>
        <v>August</v>
      </c>
      <c r="E353" s="4" t="str">
        <f t="shared" si="22"/>
        <v>Sunday</v>
      </c>
      <c r="F353" s="4" t="s">
        <v>119</v>
      </c>
      <c r="G353" s="4">
        <f t="shared" si="23"/>
        <v>11</v>
      </c>
      <c r="H353" s="4" t="s">
        <v>35</v>
      </c>
      <c r="I353" s="4" t="s">
        <v>14</v>
      </c>
      <c r="J353" s="4">
        <v>1</v>
      </c>
      <c r="K353" s="5">
        <v>13</v>
      </c>
      <c r="L353" s="4" t="s">
        <v>15</v>
      </c>
      <c r="M353" s="4" t="s">
        <v>44</v>
      </c>
      <c r="N353" s="5">
        <v>13</v>
      </c>
    </row>
    <row r="354" spans="1:14">
      <c r="A354" s="4" t="s">
        <v>705</v>
      </c>
      <c r="B354" s="4" t="s">
        <v>697</v>
      </c>
      <c r="C354" s="4">
        <f t="shared" si="20"/>
        <v>2026</v>
      </c>
      <c r="D354" s="4" t="str">
        <f t="shared" si="21"/>
        <v>August</v>
      </c>
      <c r="E354" s="4" t="str">
        <f t="shared" si="22"/>
        <v>Sunday</v>
      </c>
      <c r="F354" s="4" t="s">
        <v>644</v>
      </c>
      <c r="G354" s="4">
        <f t="shared" si="23"/>
        <v>12</v>
      </c>
      <c r="H354" s="4" t="s">
        <v>62</v>
      </c>
      <c r="I354" s="4" t="s">
        <v>63</v>
      </c>
      <c r="J354" s="4">
        <v>1</v>
      </c>
      <c r="K354" s="5">
        <v>10</v>
      </c>
      <c r="L354" s="4" t="s">
        <v>15</v>
      </c>
      <c r="M354" s="4" t="s">
        <v>44</v>
      </c>
      <c r="N354" s="5">
        <v>10</v>
      </c>
    </row>
    <row r="355" spans="1:14">
      <c r="A355" s="4" t="s">
        <v>706</v>
      </c>
      <c r="B355" s="4" t="s">
        <v>697</v>
      </c>
      <c r="C355" s="4">
        <f t="shared" si="20"/>
        <v>2026</v>
      </c>
      <c r="D355" s="4" t="str">
        <f t="shared" si="21"/>
        <v>August</v>
      </c>
      <c r="E355" s="4" t="str">
        <f t="shared" si="22"/>
        <v>Sunday</v>
      </c>
      <c r="F355" s="4" t="s">
        <v>707</v>
      </c>
      <c r="G355" s="4">
        <f t="shared" si="23"/>
        <v>12</v>
      </c>
      <c r="H355" s="4" t="s">
        <v>35</v>
      </c>
      <c r="I355" s="4" t="s">
        <v>14</v>
      </c>
      <c r="J355" s="4">
        <v>1</v>
      </c>
      <c r="K355" s="5">
        <v>13</v>
      </c>
      <c r="L355" s="4" t="s">
        <v>15</v>
      </c>
      <c r="M355" s="4" t="s">
        <v>16</v>
      </c>
      <c r="N355" s="5">
        <v>13</v>
      </c>
    </row>
    <row r="356" spans="1:14">
      <c r="A356" s="4" t="s">
        <v>708</v>
      </c>
      <c r="B356" s="4" t="s">
        <v>697</v>
      </c>
      <c r="C356" s="4">
        <f t="shared" si="20"/>
        <v>2026</v>
      </c>
      <c r="D356" s="4" t="str">
        <f t="shared" si="21"/>
        <v>August</v>
      </c>
      <c r="E356" s="4" t="str">
        <f t="shared" si="22"/>
        <v>Sunday</v>
      </c>
      <c r="F356" s="4" t="s">
        <v>709</v>
      </c>
      <c r="G356" s="4">
        <f t="shared" si="23"/>
        <v>12</v>
      </c>
      <c r="H356" s="4" t="s">
        <v>13</v>
      </c>
      <c r="I356" s="4" t="s">
        <v>14</v>
      </c>
      <c r="J356" s="4">
        <v>2</v>
      </c>
      <c r="K356" s="5">
        <v>15</v>
      </c>
      <c r="L356" s="4" t="s">
        <v>26</v>
      </c>
      <c r="M356" s="4" t="s">
        <v>16</v>
      </c>
      <c r="N356" s="5">
        <v>30</v>
      </c>
    </row>
    <row r="357" spans="1:14">
      <c r="A357" s="4" t="s">
        <v>710</v>
      </c>
      <c r="B357" s="4" t="s">
        <v>697</v>
      </c>
      <c r="C357" s="4">
        <f t="shared" si="20"/>
        <v>2026</v>
      </c>
      <c r="D357" s="4" t="str">
        <f t="shared" si="21"/>
        <v>August</v>
      </c>
      <c r="E357" s="4" t="str">
        <f t="shared" si="22"/>
        <v>Sunday</v>
      </c>
      <c r="F357" s="4" t="s">
        <v>711</v>
      </c>
      <c r="G357" s="4">
        <f t="shared" si="23"/>
        <v>13</v>
      </c>
      <c r="H357" s="4" t="s">
        <v>21</v>
      </c>
      <c r="I357" s="4" t="s">
        <v>14</v>
      </c>
      <c r="J357" s="4">
        <v>1</v>
      </c>
      <c r="K357" s="5">
        <v>12</v>
      </c>
      <c r="L357" s="4" t="s">
        <v>26</v>
      </c>
      <c r="M357" s="4" t="s">
        <v>44</v>
      </c>
      <c r="N357" s="5">
        <v>12</v>
      </c>
    </row>
    <row r="358" spans="1:14">
      <c r="A358" s="4" t="s">
        <v>712</v>
      </c>
      <c r="B358" s="4" t="s">
        <v>697</v>
      </c>
      <c r="C358" s="4">
        <f t="shared" si="20"/>
        <v>2026</v>
      </c>
      <c r="D358" s="4" t="str">
        <f t="shared" si="21"/>
        <v>August</v>
      </c>
      <c r="E358" s="4" t="str">
        <f t="shared" si="22"/>
        <v>Sunday</v>
      </c>
      <c r="F358" s="4" t="s">
        <v>267</v>
      </c>
      <c r="G358" s="4">
        <f t="shared" si="23"/>
        <v>14</v>
      </c>
      <c r="H358" s="4" t="s">
        <v>24</v>
      </c>
      <c r="I358" s="4" t="s">
        <v>25</v>
      </c>
      <c r="J358" s="4">
        <v>1</v>
      </c>
      <c r="K358" s="5">
        <v>14</v>
      </c>
      <c r="L358" s="4" t="s">
        <v>26</v>
      </c>
      <c r="M358" s="4" t="s">
        <v>16</v>
      </c>
      <c r="N358" s="5">
        <v>14</v>
      </c>
    </row>
    <row r="359" spans="1:14">
      <c r="A359" s="4" t="s">
        <v>713</v>
      </c>
      <c r="B359" s="4" t="s">
        <v>697</v>
      </c>
      <c r="C359" s="4">
        <f t="shared" si="20"/>
        <v>2026</v>
      </c>
      <c r="D359" s="4" t="str">
        <f t="shared" si="21"/>
        <v>August</v>
      </c>
      <c r="E359" s="4" t="str">
        <f t="shared" si="22"/>
        <v>Sunday</v>
      </c>
      <c r="F359" s="4" t="s">
        <v>398</v>
      </c>
      <c r="G359" s="4">
        <f t="shared" si="23"/>
        <v>14</v>
      </c>
      <c r="H359" s="4" t="s">
        <v>51</v>
      </c>
      <c r="I359" s="4" t="s">
        <v>14</v>
      </c>
      <c r="J359" s="4">
        <v>2</v>
      </c>
      <c r="K359" s="5">
        <v>7</v>
      </c>
      <c r="L359" s="4" t="s">
        <v>26</v>
      </c>
      <c r="M359" s="4" t="s">
        <v>44</v>
      </c>
      <c r="N359" s="5">
        <v>14</v>
      </c>
    </row>
    <row r="360" spans="1:14">
      <c r="A360" s="4" t="s">
        <v>714</v>
      </c>
      <c r="B360" s="4" t="s">
        <v>697</v>
      </c>
      <c r="C360" s="4">
        <f t="shared" si="20"/>
        <v>2026</v>
      </c>
      <c r="D360" s="4" t="str">
        <f t="shared" si="21"/>
        <v>August</v>
      </c>
      <c r="E360" s="4" t="str">
        <f t="shared" si="22"/>
        <v>Sunday</v>
      </c>
      <c r="F360" s="4" t="s">
        <v>715</v>
      </c>
      <c r="G360" s="4">
        <f t="shared" si="23"/>
        <v>16</v>
      </c>
      <c r="H360" s="4" t="s">
        <v>62</v>
      </c>
      <c r="I360" s="4" t="s">
        <v>63</v>
      </c>
      <c r="J360" s="4">
        <v>1</v>
      </c>
      <c r="K360" s="5">
        <v>10</v>
      </c>
      <c r="L360" s="4" t="s">
        <v>15</v>
      </c>
      <c r="M360" s="4" t="s">
        <v>16</v>
      </c>
      <c r="N360" s="5">
        <v>10</v>
      </c>
    </row>
    <row r="361" spans="1:14">
      <c r="A361" s="4" t="s">
        <v>716</v>
      </c>
      <c r="B361" s="4" t="s">
        <v>697</v>
      </c>
      <c r="C361" s="4">
        <f t="shared" si="20"/>
        <v>2026</v>
      </c>
      <c r="D361" s="4" t="str">
        <f t="shared" si="21"/>
        <v>August</v>
      </c>
      <c r="E361" s="4" t="str">
        <f t="shared" si="22"/>
        <v>Sunday</v>
      </c>
      <c r="F361" s="4" t="s">
        <v>622</v>
      </c>
      <c r="G361" s="4">
        <f t="shared" si="23"/>
        <v>16</v>
      </c>
      <c r="H361" s="4" t="s">
        <v>24</v>
      </c>
      <c r="I361" s="4" t="s">
        <v>25</v>
      </c>
      <c r="J361" s="4">
        <v>1</v>
      </c>
      <c r="K361" s="5">
        <v>14</v>
      </c>
      <c r="L361" s="4" t="s">
        <v>26</v>
      </c>
      <c r="M361" s="4" t="s">
        <v>44</v>
      </c>
      <c r="N361" s="5">
        <v>14</v>
      </c>
    </row>
    <row r="362" spans="1:14">
      <c r="A362" s="4" t="s">
        <v>717</v>
      </c>
      <c r="B362" s="4" t="s">
        <v>697</v>
      </c>
      <c r="C362" s="4">
        <f t="shared" si="20"/>
        <v>2026</v>
      </c>
      <c r="D362" s="4" t="str">
        <f t="shared" si="21"/>
        <v>August</v>
      </c>
      <c r="E362" s="4" t="str">
        <f t="shared" si="22"/>
        <v>Sunday</v>
      </c>
      <c r="F362" s="4" t="s">
        <v>407</v>
      </c>
      <c r="G362" s="4">
        <f t="shared" si="23"/>
        <v>17</v>
      </c>
      <c r="H362" s="4" t="s">
        <v>115</v>
      </c>
      <c r="I362" s="4" t="s">
        <v>63</v>
      </c>
      <c r="J362" s="4">
        <v>2</v>
      </c>
      <c r="K362" s="5">
        <v>16</v>
      </c>
      <c r="L362" s="4" t="s">
        <v>15</v>
      </c>
      <c r="M362" s="4" t="s">
        <v>44</v>
      </c>
      <c r="N362" s="5">
        <v>32</v>
      </c>
    </row>
    <row r="363" spans="1:14">
      <c r="A363" s="4" t="s">
        <v>718</v>
      </c>
      <c r="B363" s="4" t="s">
        <v>697</v>
      </c>
      <c r="C363" s="4">
        <f t="shared" si="20"/>
        <v>2026</v>
      </c>
      <c r="D363" s="4" t="str">
        <f t="shared" si="21"/>
        <v>August</v>
      </c>
      <c r="E363" s="4" t="str">
        <f t="shared" si="22"/>
        <v>Sunday</v>
      </c>
      <c r="F363" s="4" t="s">
        <v>342</v>
      </c>
      <c r="G363" s="4">
        <f t="shared" si="23"/>
        <v>17</v>
      </c>
      <c r="H363" s="4" t="s">
        <v>105</v>
      </c>
      <c r="I363" s="4" t="s">
        <v>25</v>
      </c>
      <c r="J363" s="4">
        <v>2</v>
      </c>
      <c r="K363" s="5">
        <v>12</v>
      </c>
      <c r="L363" s="4" t="s">
        <v>15</v>
      </c>
      <c r="M363" s="4" t="s">
        <v>16</v>
      </c>
      <c r="N363" s="5">
        <v>24</v>
      </c>
    </row>
    <row r="364" spans="1:14">
      <c r="A364" s="4" t="s">
        <v>719</v>
      </c>
      <c r="B364" s="4" t="s">
        <v>697</v>
      </c>
      <c r="C364" s="4">
        <f t="shared" si="20"/>
        <v>2026</v>
      </c>
      <c r="D364" s="4" t="str">
        <f t="shared" si="21"/>
        <v>August</v>
      </c>
      <c r="E364" s="4" t="str">
        <f t="shared" si="22"/>
        <v>Sunday</v>
      </c>
      <c r="F364" s="4" t="s">
        <v>720</v>
      </c>
      <c r="G364" s="4">
        <f t="shared" si="23"/>
        <v>17</v>
      </c>
      <c r="H364" s="4" t="s">
        <v>72</v>
      </c>
      <c r="I364" s="4" t="s">
        <v>14</v>
      </c>
      <c r="J364" s="4">
        <v>2</v>
      </c>
      <c r="K364" s="5">
        <v>14</v>
      </c>
      <c r="L364" s="4" t="s">
        <v>15</v>
      </c>
      <c r="M364" s="4" t="s">
        <v>16</v>
      </c>
      <c r="N364" s="5">
        <v>28</v>
      </c>
    </row>
    <row r="365" spans="1:14">
      <c r="A365" s="4" t="s">
        <v>721</v>
      </c>
      <c r="B365" s="4" t="s">
        <v>697</v>
      </c>
      <c r="C365" s="4">
        <f t="shared" si="20"/>
        <v>2026</v>
      </c>
      <c r="D365" s="4" t="str">
        <f t="shared" si="21"/>
        <v>August</v>
      </c>
      <c r="E365" s="4" t="str">
        <f t="shared" si="22"/>
        <v>Sunday</v>
      </c>
      <c r="F365" s="4" t="s">
        <v>722</v>
      </c>
      <c r="G365" s="4">
        <f t="shared" si="23"/>
        <v>18</v>
      </c>
      <c r="H365" s="4" t="s">
        <v>62</v>
      </c>
      <c r="I365" s="4" t="s">
        <v>63</v>
      </c>
      <c r="J365" s="4">
        <v>1</v>
      </c>
      <c r="K365" s="5">
        <v>10</v>
      </c>
      <c r="L365" s="4" t="s">
        <v>26</v>
      </c>
      <c r="M365" s="4" t="s">
        <v>16</v>
      </c>
      <c r="N365" s="5">
        <v>10</v>
      </c>
    </row>
    <row r="366" spans="1:14">
      <c r="A366" s="4" t="s">
        <v>723</v>
      </c>
      <c r="B366" s="4" t="s">
        <v>697</v>
      </c>
      <c r="C366" s="4">
        <f t="shared" si="20"/>
        <v>2026</v>
      </c>
      <c r="D366" s="4" t="str">
        <f t="shared" si="21"/>
        <v>August</v>
      </c>
      <c r="E366" s="4" t="str">
        <f t="shared" si="22"/>
        <v>Sunday</v>
      </c>
      <c r="F366" s="4" t="s">
        <v>724</v>
      </c>
      <c r="G366" s="4">
        <f t="shared" si="23"/>
        <v>18</v>
      </c>
      <c r="H366" s="4" t="s">
        <v>51</v>
      </c>
      <c r="I366" s="4" t="s">
        <v>14</v>
      </c>
      <c r="J366" s="4">
        <v>1</v>
      </c>
      <c r="K366" s="5">
        <v>7</v>
      </c>
      <c r="L366" s="4" t="s">
        <v>41</v>
      </c>
      <c r="M366" s="4" t="s">
        <v>44</v>
      </c>
      <c r="N366" s="5">
        <v>7</v>
      </c>
    </row>
    <row r="367" spans="1:14">
      <c r="A367" s="4" t="s">
        <v>725</v>
      </c>
      <c r="B367" s="4" t="s">
        <v>726</v>
      </c>
      <c r="C367" s="4">
        <f t="shared" si="20"/>
        <v>2026</v>
      </c>
      <c r="D367" s="4" t="str">
        <f t="shared" si="21"/>
        <v>August</v>
      </c>
      <c r="E367" s="4" t="str">
        <f t="shared" si="22"/>
        <v>Monday</v>
      </c>
      <c r="F367" s="4" t="s">
        <v>727</v>
      </c>
      <c r="G367" s="4">
        <f t="shared" si="23"/>
        <v>11</v>
      </c>
      <c r="H367" s="4" t="s">
        <v>24</v>
      </c>
      <c r="I367" s="4" t="s">
        <v>25</v>
      </c>
      <c r="J367" s="4">
        <v>1</v>
      </c>
      <c r="K367" s="5">
        <v>14</v>
      </c>
      <c r="L367" s="4" t="s">
        <v>26</v>
      </c>
      <c r="M367" s="4" t="s">
        <v>44</v>
      </c>
      <c r="N367" s="5">
        <v>14</v>
      </c>
    </row>
    <row r="368" spans="1:14">
      <c r="A368" s="4" t="s">
        <v>728</v>
      </c>
      <c r="B368" s="4" t="s">
        <v>726</v>
      </c>
      <c r="C368" s="4">
        <f t="shared" si="20"/>
        <v>2026</v>
      </c>
      <c r="D368" s="4" t="str">
        <f t="shared" si="21"/>
        <v>August</v>
      </c>
      <c r="E368" s="4" t="str">
        <f t="shared" si="22"/>
        <v>Monday</v>
      </c>
      <c r="F368" s="4" t="s">
        <v>729</v>
      </c>
      <c r="G368" s="4">
        <f t="shared" si="23"/>
        <v>11</v>
      </c>
      <c r="H368" s="4" t="s">
        <v>24</v>
      </c>
      <c r="I368" s="4" t="s">
        <v>25</v>
      </c>
      <c r="J368" s="4">
        <v>1</v>
      </c>
      <c r="K368" s="5">
        <v>14</v>
      </c>
      <c r="L368" s="4" t="s">
        <v>26</v>
      </c>
      <c r="M368" s="4" t="s">
        <v>44</v>
      </c>
      <c r="N368" s="5">
        <v>14</v>
      </c>
    </row>
    <row r="369" spans="1:14">
      <c r="A369" s="4" t="s">
        <v>730</v>
      </c>
      <c r="B369" s="4" t="s">
        <v>726</v>
      </c>
      <c r="C369" s="4">
        <f t="shared" si="20"/>
        <v>2026</v>
      </c>
      <c r="D369" s="4" t="str">
        <f t="shared" si="21"/>
        <v>August</v>
      </c>
      <c r="E369" s="4" t="str">
        <f t="shared" si="22"/>
        <v>Monday</v>
      </c>
      <c r="F369" s="4" t="s">
        <v>731</v>
      </c>
      <c r="G369" s="4">
        <f t="shared" si="23"/>
        <v>11</v>
      </c>
      <c r="H369" s="4" t="s">
        <v>13</v>
      </c>
      <c r="I369" s="4" t="s">
        <v>14</v>
      </c>
      <c r="J369" s="4">
        <v>1</v>
      </c>
      <c r="K369" s="5">
        <v>15</v>
      </c>
      <c r="L369" s="4" t="s">
        <v>26</v>
      </c>
      <c r="M369" s="4" t="s">
        <v>16</v>
      </c>
      <c r="N369" s="5">
        <v>15</v>
      </c>
    </row>
    <row r="370" spans="1:14">
      <c r="A370" s="4" t="s">
        <v>732</v>
      </c>
      <c r="B370" s="4" t="s">
        <v>726</v>
      </c>
      <c r="C370" s="4">
        <f t="shared" si="20"/>
        <v>2026</v>
      </c>
      <c r="D370" s="4" t="str">
        <f t="shared" si="21"/>
        <v>August</v>
      </c>
      <c r="E370" s="4" t="str">
        <f t="shared" si="22"/>
        <v>Monday</v>
      </c>
      <c r="F370" s="4" t="s">
        <v>146</v>
      </c>
      <c r="G370" s="4">
        <f t="shared" si="23"/>
        <v>11</v>
      </c>
      <c r="H370" s="4" t="s">
        <v>72</v>
      </c>
      <c r="I370" s="4" t="s">
        <v>14</v>
      </c>
      <c r="J370" s="4">
        <v>1</v>
      </c>
      <c r="K370" s="5">
        <v>14</v>
      </c>
      <c r="L370" s="4" t="s">
        <v>15</v>
      </c>
      <c r="M370" s="4" t="s">
        <v>44</v>
      </c>
      <c r="N370" s="5">
        <v>14</v>
      </c>
    </row>
    <row r="371" spans="1:14">
      <c r="A371" s="4" t="s">
        <v>733</v>
      </c>
      <c r="B371" s="4" t="s">
        <v>726</v>
      </c>
      <c r="C371" s="4">
        <f t="shared" si="20"/>
        <v>2026</v>
      </c>
      <c r="D371" s="4" t="str">
        <f t="shared" si="21"/>
        <v>August</v>
      </c>
      <c r="E371" s="4" t="str">
        <f t="shared" si="22"/>
        <v>Monday</v>
      </c>
      <c r="F371" s="4" t="s">
        <v>514</v>
      </c>
      <c r="G371" s="4">
        <f t="shared" si="23"/>
        <v>12</v>
      </c>
      <c r="H371" s="4" t="s">
        <v>21</v>
      </c>
      <c r="I371" s="4" t="s">
        <v>14</v>
      </c>
      <c r="J371" s="4">
        <v>2</v>
      </c>
      <c r="K371" s="5">
        <v>12</v>
      </c>
      <c r="L371" s="4" t="s">
        <v>41</v>
      </c>
      <c r="M371" s="4" t="s">
        <v>44</v>
      </c>
      <c r="N371" s="5">
        <v>24</v>
      </c>
    </row>
    <row r="372" spans="1:14">
      <c r="A372" s="4" t="s">
        <v>734</v>
      </c>
      <c r="B372" s="4" t="s">
        <v>726</v>
      </c>
      <c r="C372" s="4">
        <f t="shared" si="20"/>
        <v>2026</v>
      </c>
      <c r="D372" s="4" t="str">
        <f t="shared" si="21"/>
        <v>August</v>
      </c>
      <c r="E372" s="4" t="str">
        <f t="shared" si="22"/>
        <v>Monday</v>
      </c>
      <c r="F372" s="4" t="s">
        <v>735</v>
      </c>
      <c r="G372" s="4">
        <f t="shared" si="23"/>
        <v>12</v>
      </c>
      <c r="H372" s="4" t="s">
        <v>38</v>
      </c>
      <c r="I372" s="4" t="s">
        <v>14</v>
      </c>
      <c r="J372" s="4">
        <v>1</v>
      </c>
      <c r="K372" s="5">
        <v>9</v>
      </c>
      <c r="L372" s="4" t="s">
        <v>26</v>
      </c>
      <c r="M372" s="4" t="s">
        <v>16</v>
      </c>
      <c r="N372" s="5">
        <v>9</v>
      </c>
    </row>
    <row r="373" spans="1:14">
      <c r="A373" s="4" t="s">
        <v>736</v>
      </c>
      <c r="B373" s="4" t="s">
        <v>726</v>
      </c>
      <c r="C373" s="4">
        <f t="shared" si="20"/>
        <v>2026</v>
      </c>
      <c r="D373" s="4" t="str">
        <f t="shared" si="21"/>
        <v>August</v>
      </c>
      <c r="E373" s="4" t="str">
        <f t="shared" si="22"/>
        <v>Monday</v>
      </c>
      <c r="F373" s="4" t="s">
        <v>737</v>
      </c>
      <c r="G373" s="4">
        <f t="shared" si="23"/>
        <v>15</v>
      </c>
      <c r="H373" s="4" t="s">
        <v>13</v>
      </c>
      <c r="I373" s="4" t="s">
        <v>14</v>
      </c>
      <c r="J373" s="4">
        <v>1</v>
      </c>
      <c r="K373" s="5">
        <v>15</v>
      </c>
      <c r="L373" s="4" t="s">
        <v>26</v>
      </c>
      <c r="M373" s="4" t="s">
        <v>16</v>
      </c>
      <c r="N373" s="5">
        <v>15</v>
      </c>
    </row>
    <row r="374" spans="1:14">
      <c r="A374" s="4" t="s">
        <v>738</v>
      </c>
      <c r="B374" s="4" t="s">
        <v>726</v>
      </c>
      <c r="C374" s="4">
        <f t="shared" si="20"/>
        <v>2026</v>
      </c>
      <c r="D374" s="4" t="str">
        <f t="shared" si="21"/>
        <v>August</v>
      </c>
      <c r="E374" s="4" t="str">
        <f t="shared" si="22"/>
        <v>Monday</v>
      </c>
      <c r="F374" s="4" t="s">
        <v>407</v>
      </c>
      <c r="G374" s="4">
        <f t="shared" si="23"/>
        <v>17</v>
      </c>
      <c r="H374" s="4" t="s">
        <v>35</v>
      </c>
      <c r="I374" s="4" t="s">
        <v>14</v>
      </c>
      <c r="J374" s="4">
        <v>1</v>
      </c>
      <c r="K374" s="5">
        <v>13</v>
      </c>
      <c r="L374" s="4" t="s">
        <v>15</v>
      </c>
      <c r="M374" s="4" t="s">
        <v>44</v>
      </c>
      <c r="N374" s="5">
        <v>13</v>
      </c>
    </row>
    <row r="375" spans="1:14">
      <c r="A375" s="4" t="s">
        <v>739</v>
      </c>
      <c r="B375" s="4" t="s">
        <v>726</v>
      </c>
      <c r="C375" s="4">
        <f t="shared" si="20"/>
        <v>2026</v>
      </c>
      <c r="D375" s="4" t="str">
        <f t="shared" si="21"/>
        <v>August</v>
      </c>
      <c r="E375" s="4" t="str">
        <f t="shared" si="22"/>
        <v>Monday</v>
      </c>
      <c r="F375" s="4" t="s">
        <v>740</v>
      </c>
      <c r="G375" s="4">
        <f t="shared" si="23"/>
        <v>17</v>
      </c>
      <c r="H375" s="4" t="s">
        <v>72</v>
      </c>
      <c r="I375" s="4" t="s">
        <v>14</v>
      </c>
      <c r="J375" s="4">
        <v>4</v>
      </c>
      <c r="K375" s="5">
        <v>14</v>
      </c>
      <c r="L375" s="4" t="s">
        <v>26</v>
      </c>
      <c r="M375" s="4" t="s">
        <v>44</v>
      </c>
      <c r="N375" s="5">
        <v>56</v>
      </c>
    </row>
    <row r="376" spans="1:14">
      <c r="A376" s="4" t="s">
        <v>741</v>
      </c>
      <c r="B376" s="4" t="s">
        <v>726</v>
      </c>
      <c r="C376" s="4">
        <f t="shared" si="20"/>
        <v>2026</v>
      </c>
      <c r="D376" s="4" t="str">
        <f t="shared" si="21"/>
        <v>August</v>
      </c>
      <c r="E376" s="4" t="str">
        <f t="shared" si="22"/>
        <v>Monday</v>
      </c>
      <c r="F376" s="4" t="s">
        <v>742</v>
      </c>
      <c r="G376" s="4">
        <f t="shared" si="23"/>
        <v>17</v>
      </c>
      <c r="H376" s="4" t="s">
        <v>13</v>
      </c>
      <c r="I376" s="4" t="s">
        <v>14</v>
      </c>
      <c r="J376" s="4">
        <v>1</v>
      </c>
      <c r="K376" s="5">
        <v>15</v>
      </c>
      <c r="L376" s="4" t="s">
        <v>41</v>
      </c>
      <c r="M376" s="4" t="s">
        <v>44</v>
      </c>
      <c r="N376" s="5">
        <v>15</v>
      </c>
    </row>
    <row r="377" spans="1:14">
      <c r="A377" s="4" t="s">
        <v>743</v>
      </c>
      <c r="B377" s="4" t="s">
        <v>726</v>
      </c>
      <c r="C377" s="4">
        <f t="shared" si="20"/>
        <v>2026</v>
      </c>
      <c r="D377" s="4" t="str">
        <f t="shared" si="21"/>
        <v>August</v>
      </c>
      <c r="E377" s="4" t="str">
        <f t="shared" si="22"/>
        <v>Monday</v>
      </c>
      <c r="F377" s="4" t="s">
        <v>192</v>
      </c>
      <c r="G377" s="4">
        <f t="shared" si="23"/>
        <v>17</v>
      </c>
      <c r="H377" s="4" t="s">
        <v>115</v>
      </c>
      <c r="I377" s="4" t="s">
        <v>63</v>
      </c>
      <c r="J377" s="4">
        <v>3</v>
      </c>
      <c r="K377" s="5">
        <v>16</v>
      </c>
      <c r="L377" s="4" t="s">
        <v>26</v>
      </c>
      <c r="M377" s="4" t="s">
        <v>16</v>
      </c>
      <c r="N377" s="5">
        <v>48</v>
      </c>
    </row>
    <row r="378" spans="1:14">
      <c r="A378" s="4" t="s">
        <v>744</v>
      </c>
      <c r="B378" s="4" t="s">
        <v>726</v>
      </c>
      <c r="C378" s="4">
        <f t="shared" si="20"/>
        <v>2026</v>
      </c>
      <c r="D378" s="4" t="str">
        <f t="shared" si="21"/>
        <v>August</v>
      </c>
      <c r="E378" s="4" t="str">
        <f t="shared" si="22"/>
        <v>Monday</v>
      </c>
      <c r="F378" s="4" t="s">
        <v>745</v>
      </c>
      <c r="G378" s="4">
        <f t="shared" si="23"/>
        <v>17</v>
      </c>
      <c r="H378" s="4" t="s">
        <v>105</v>
      </c>
      <c r="I378" s="4" t="s">
        <v>25</v>
      </c>
      <c r="J378" s="4">
        <v>1</v>
      </c>
      <c r="K378" s="5">
        <v>12</v>
      </c>
      <c r="L378" s="4" t="s">
        <v>41</v>
      </c>
      <c r="M378" s="4" t="s">
        <v>16</v>
      </c>
      <c r="N378" s="5">
        <v>12</v>
      </c>
    </row>
    <row r="379" spans="1:14">
      <c r="A379" s="4" t="s">
        <v>746</v>
      </c>
      <c r="B379" s="4" t="s">
        <v>726</v>
      </c>
      <c r="C379" s="4">
        <f t="shared" si="20"/>
        <v>2026</v>
      </c>
      <c r="D379" s="4" t="str">
        <f t="shared" si="21"/>
        <v>August</v>
      </c>
      <c r="E379" s="4" t="str">
        <f t="shared" si="22"/>
        <v>Monday</v>
      </c>
      <c r="F379" s="4" t="s">
        <v>747</v>
      </c>
      <c r="G379" s="4">
        <f t="shared" si="23"/>
        <v>18</v>
      </c>
      <c r="H379" s="4" t="s">
        <v>115</v>
      </c>
      <c r="I379" s="4" t="s">
        <v>63</v>
      </c>
      <c r="J379" s="4">
        <v>1</v>
      </c>
      <c r="K379" s="5">
        <v>16</v>
      </c>
      <c r="L379" s="4" t="s">
        <v>15</v>
      </c>
      <c r="M379" s="4" t="s">
        <v>44</v>
      </c>
      <c r="N379" s="5">
        <v>16</v>
      </c>
    </row>
    <row r="380" spans="1:14">
      <c r="A380" s="4" t="s">
        <v>748</v>
      </c>
      <c r="B380" s="4" t="s">
        <v>726</v>
      </c>
      <c r="C380" s="4">
        <f t="shared" si="20"/>
        <v>2026</v>
      </c>
      <c r="D380" s="4" t="str">
        <f t="shared" si="21"/>
        <v>August</v>
      </c>
      <c r="E380" s="4" t="str">
        <f t="shared" si="22"/>
        <v>Monday</v>
      </c>
      <c r="F380" s="4" t="s">
        <v>749</v>
      </c>
      <c r="G380" s="4">
        <f t="shared" si="23"/>
        <v>18</v>
      </c>
      <c r="H380" s="4" t="s">
        <v>29</v>
      </c>
      <c r="I380" s="4" t="s">
        <v>30</v>
      </c>
      <c r="J380" s="4">
        <v>1</v>
      </c>
      <c r="K380" s="5">
        <v>9</v>
      </c>
      <c r="L380" s="4" t="s">
        <v>15</v>
      </c>
      <c r="M380" s="4" t="s">
        <v>44</v>
      </c>
      <c r="N380" s="5">
        <v>9</v>
      </c>
    </row>
    <row r="381" spans="1:14">
      <c r="A381" s="4" t="s">
        <v>750</v>
      </c>
      <c r="B381" s="4" t="s">
        <v>751</v>
      </c>
      <c r="C381" s="4">
        <f t="shared" si="20"/>
        <v>2026</v>
      </c>
      <c r="D381" s="4" t="str">
        <f t="shared" si="21"/>
        <v>September</v>
      </c>
      <c r="E381" s="4" t="str">
        <f t="shared" si="22"/>
        <v>Tuesday</v>
      </c>
      <c r="F381" s="4" t="s">
        <v>288</v>
      </c>
      <c r="G381" s="4">
        <f t="shared" si="23"/>
        <v>9</v>
      </c>
      <c r="H381" s="4" t="s">
        <v>38</v>
      </c>
      <c r="I381" s="4" t="s">
        <v>14</v>
      </c>
      <c r="J381" s="4">
        <v>1</v>
      </c>
      <c r="K381" s="5">
        <v>9</v>
      </c>
      <c r="L381" s="4" t="s">
        <v>41</v>
      </c>
      <c r="M381" s="4" t="s">
        <v>44</v>
      </c>
      <c r="N381" s="5">
        <v>9</v>
      </c>
    </row>
    <row r="382" spans="1:14">
      <c r="A382" s="4" t="s">
        <v>752</v>
      </c>
      <c r="B382" s="4" t="s">
        <v>751</v>
      </c>
      <c r="C382" s="4">
        <f t="shared" si="20"/>
        <v>2026</v>
      </c>
      <c r="D382" s="4" t="str">
        <f t="shared" si="21"/>
        <v>September</v>
      </c>
      <c r="E382" s="4" t="str">
        <f t="shared" si="22"/>
        <v>Tuesday</v>
      </c>
      <c r="F382" s="4" t="s">
        <v>753</v>
      </c>
      <c r="G382" s="4">
        <f t="shared" si="23"/>
        <v>9</v>
      </c>
      <c r="H382" s="4" t="s">
        <v>35</v>
      </c>
      <c r="I382" s="4" t="s">
        <v>14</v>
      </c>
      <c r="J382" s="4">
        <v>1</v>
      </c>
      <c r="K382" s="5">
        <v>13</v>
      </c>
      <c r="L382" s="4" t="s">
        <v>26</v>
      </c>
      <c r="M382" s="4" t="s">
        <v>44</v>
      </c>
      <c r="N382" s="5">
        <v>13</v>
      </c>
    </row>
    <row r="383" spans="1:14">
      <c r="A383" s="4" t="s">
        <v>754</v>
      </c>
      <c r="B383" s="4" t="s">
        <v>751</v>
      </c>
      <c r="C383" s="4">
        <f t="shared" si="20"/>
        <v>2026</v>
      </c>
      <c r="D383" s="4" t="str">
        <f t="shared" si="21"/>
        <v>September</v>
      </c>
      <c r="E383" s="4" t="str">
        <f t="shared" si="22"/>
        <v>Tuesday</v>
      </c>
      <c r="F383" s="4" t="s">
        <v>637</v>
      </c>
      <c r="G383" s="4">
        <f t="shared" si="23"/>
        <v>10</v>
      </c>
      <c r="H383" s="4" t="s">
        <v>21</v>
      </c>
      <c r="I383" s="4" t="s">
        <v>14</v>
      </c>
      <c r="J383" s="4">
        <v>2</v>
      </c>
      <c r="K383" s="5">
        <v>12</v>
      </c>
      <c r="L383" s="4" t="s">
        <v>15</v>
      </c>
      <c r="M383" s="4" t="s">
        <v>16</v>
      </c>
      <c r="N383" s="5">
        <v>24</v>
      </c>
    </row>
    <row r="384" spans="1:14">
      <c r="A384" s="4" t="s">
        <v>755</v>
      </c>
      <c r="B384" s="4" t="s">
        <v>751</v>
      </c>
      <c r="C384" s="4">
        <f t="shared" si="20"/>
        <v>2026</v>
      </c>
      <c r="D384" s="4" t="str">
        <f t="shared" si="21"/>
        <v>September</v>
      </c>
      <c r="E384" s="4" t="str">
        <f t="shared" si="22"/>
        <v>Tuesday</v>
      </c>
      <c r="F384" s="4" t="s">
        <v>756</v>
      </c>
      <c r="G384" s="4">
        <f t="shared" si="23"/>
        <v>10</v>
      </c>
      <c r="H384" s="4" t="s">
        <v>35</v>
      </c>
      <c r="I384" s="4" t="s">
        <v>14</v>
      </c>
      <c r="J384" s="4">
        <v>1</v>
      </c>
      <c r="K384" s="5">
        <v>13</v>
      </c>
      <c r="L384" s="4" t="s">
        <v>15</v>
      </c>
      <c r="M384" s="4" t="s">
        <v>44</v>
      </c>
      <c r="N384" s="5">
        <v>13</v>
      </c>
    </row>
    <row r="385" spans="1:14">
      <c r="A385" s="4" t="s">
        <v>757</v>
      </c>
      <c r="B385" s="4" t="s">
        <v>751</v>
      </c>
      <c r="C385" s="4">
        <f t="shared" si="20"/>
        <v>2026</v>
      </c>
      <c r="D385" s="4" t="str">
        <f t="shared" si="21"/>
        <v>September</v>
      </c>
      <c r="E385" s="4" t="str">
        <f t="shared" si="22"/>
        <v>Tuesday</v>
      </c>
      <c r="F385" s="4" t="s">
        <v>758</v>
      </c>
      <c r="G385" s="4">
        <f t="shared" si="23"/>
        <v>10</v>
      </c>
      <c r="H385" s="4" t="s">
        <v>24</v>
      </c>
      <c r="I385" s="4" t="s">
        <v>25</v>
      </c>
      <c r="J385" s="4">
        <v>2</v>
      </c>
      <c r="K385" s="5">
        <v>14</v>
      </c>
      <c r="L385" s="4" t="s">
        <v>26</v>
      </c>
      <c r="M385" s="4" t="s">
        <v>44</v>
      </c>
      <c r="N385" s="5">
        <v>28</v>
      </c>
    </row>
    <row r="386" spans="1:14">
      <c r="A386" s="4" t="s">
        <v>759</v>
      </c>
      <c r="B386" s="4" t="s">
        <v>751</v>
      </c>
      <c r="C386" s="4">
        <f t="shared" si="20"/>
        <v>2026</v>
      </c>
      <c r="D386" s="4" t="str">
        <f t="shared" si="21"/>
        <v>September</v>
      </c>
      <c r="E386" s="4" t="str">
        <f t="shared" si="22"/>
        <v>Tuesday</v>
      </c>
      <c r="F386" s="4" t="s">
        <v>760</v>
      </c>
      <c r="G386" s="4">
        <f t="shared" si="23"/>
        <v>10</v>
      </c>
      <c r="H386" s="4" t="s">
        <v>21</v>
      </c>
      <c r="I386" s="4" t="s">
        <v>14</v>
      </c>
      <c r="J386" s="4">
        <v>1</v>
      </c>
      <c r="K386" s="5">
        <v>12</v>
      </c>
      <c r="L386" s="4" t="s">
        <v>15</v>
      </c>
      <c r="M386" s="4" t="s">
        <v>44</v>
      </c>
      <c r="N386" s="5">
        <v>12</v>
      </c>
    </row>
    <row r="387" spans="1:14">
      <c r="A387" s="4" t="s">
        <v>761</v>
      </c>
      <c r="B387" s="4" t="s">
        <v>751</v>
      </c>
      <c r="C387" s="4">
        <f t="shared" ref="C387:C450" si="24">YEAR(B387)</f>
        <v>2026</v>
      </c>
      <c r="D387" s="4" t="str">
        <f t="shared" ref="D387:D450" si="25">TEXT(B387,"mmmm")</f>
        <v>September</v>
      </c>
      <c r="E387" s="4" t="str">
        <f t="shared" ref="E387:E450" si="26">TEXT(B387,"dddd")</f>
        <v>Tuesday</v>
      </c>
      <c r="F387" s="4" t="s">
        <v>639</v>
      </c>
      <c r="G387" s="4">
        <f t="shared" ref="G387:G450" si="27">HOUR(F387)</f>
        <v>10</v>
      </c>
      <c r="H387" s="4" t="s">
        <v>51</v>
      </c>
      <c r="I387" s="4" t="s">
        <v>14</v>
      </c>
      <c r="J387" s="4">
        <v>1</v>
      </c>
      <c r="K387" s="5">
        <v>7</v>
      </c>
      <c r="L387" s="4" t="s">
        <v>15</v>
      </c>
      <c r="M387" s="4" t="s">
        <v>44</v>
      </c>
      <c r="N387" s="5">
        <v>7</v>
      </c>
    </row>
    <row r="388" spans="1:14">
      <c r="A388" s="4" t="s">
        <v>762</v>
      </c>
      <c r="B388" s="4" t="s">
        <v>751</v>
      </c>
      <c r="C388" s="4">
        <f t="shared" si="24"/>
        <v>2026</v>
      </c>
      <c r="D388" s="4" t="str">
        <f t="shared" si="25"/>
        <v>September</v>
      </c>
      <c r="E388" s="4" t="str">
        <f t="shared" si="26"/>
        <v>Tuesday</v>
      </c>
      <c r="F388" s="4" t="s">
        <v>566</v>
      </c>
      <c r="G388" s="4">
        <f t="shared" si="27"/>
        <v>13</v>
      </c>
      <c r="H388" s="4" t="s">
        <v>51</v>
      </c>
      <c r="I388" s="4" t="s">
        <v>14</v>
      </c>
      <c r="J388" s="4">
        <v>2</v>
      </c>
      <c r="K388" s="5">
        <v>7</v>
      </c>
      <c r="L388" s="4" t="s">
        <v>26</v>
      </c>
      <c r="M388" s="4" t="s">
        <v>16</v>
      </c>
      <c r="N388" s="5">
        <v>14</v>
      </c>
    </row>
    <row r="389" spans="1:14">
      <c r="A389" s="4" t="s">
        <v>763</v>
      </c>
      <c r="B389" s="4" t="s">
        <v>751</v>
      </c>
      <c r="C389" s="4">
        <f t="shared" si="24"/>
        <v>2026</v>
      </c>
      <c r="D389" s="4" t="str">
        <f t="shared" si="25"/>
        <v>September</v>
      </c>
      <c r="E389" s="4" t="str">
        <f t="shared" si="26"/>
        <v>Tuesday</v>
      </c>
      <c r="F389" s="4" t="s">
        <v>764</v>
      </c>
      <c r="G389" s="4">
        <f t="shared" si="27"/>
        <v>14</v>
      </c>
      <c r="H389" s="4" t="s">
        <v>29</v>
      </c>
      <c r="I389" s="4" t="s">
        <v>30</v>
      </c>
      <c r="J389" s="4">
        <v>1</v>
      </c>
      <c r="K389" s="5">
        <v>9</v>
      </c>
      <c r="L389" s="4" t="s">
        <v>26</v>
      </c>
      <c r="M389" s="4" t="s">
        <v>44</v>
      </c>
      <c r="N389" s="5">
        <v>9</v>
      </c>
    </row>
    <row r="390" spans="1:14">
      <c r="A390" s="4" t="s">
        <v>765</v>
      </c>
      <c r="B390" s="4" t="s">
        <v>751</v>
      </c>
      <c r="C390" s="4">
        <f t="shared" si="24"/>
        <v>2026</v>
      </c>
      <c r="D390" s="4" t="str">
        <f t="shared" si="25"/>
        <v>September</v>
      </c>
      <c r="E390" s="4" t="str">
        <f t="shared" si="26"/>
        <v>Tuesday</v>
      </c>
      <c r="F390" s="4" t="s">
        <v>766</v>
      </c>
      <c r="G390" s="4">
        <f t="shared" si="27"/>
        <v>15</v>
      </c>
      <c r="H390" s="4" t="s">
        <v>54</v>
      </c>
      <c r="I390" s="4" t="s">
        <v>30</v>
      </c>
      <c r="J390" s="4">
        <v>3</v>
      </c>
      <c r="K390" s="5">
        <v>8</v>
      </c>
      <c r="L390" s="4" t="s">
        <v>26</v>
      </c>
      <c r="M390" s="4" t="s">
        <v>44</v>
      </c>
      <c r="N390" s="5">
        <v>24</v>
      </c>
    </row>
    <row r="391" spans="1:14">
      <c r="A391" s="4" t="s">
        <v>767</v>
      </c>
      <c r="B391" s="4" t="s">
        <v>751</v>
      </c>
      <c r="C391" s="4">
        <f t="shared" si="24"/>
        <v>2026</v>
      </c>
      <c r="D391" s="4" t="str">
        <f t="shared" si="25"/>
        <v>September</v>
      </c>
      <c r="E391" s="4" t="str">
        <f t="shared" si="26"/>
        <v>Tuesday</v>
      </c>
      <c r="F391" s="4" t="s">
        <v>277</v>
      </c>
      <c r="G391" s="4">
        <f t="shared" si="27"/>
        <v>16</v>
      </c>
      <c r="H391" s="4" t="s">
        <v>29</v>
      </c>
      <c r="I391" s="4" t="s">
        <v>30</v>
      </c>
      <c r="J391" s="4">
        <v>1</v>
      </c>
      <c r="K391" s="5">
        <v>9</v>
      </c>
      <c r="L391" s="4" t="s">
        <v>15</v>
      </c>
      <c r="M391" s="4" t="s">
        <v>16</v>
      </c>
      <c r="N391" s="5">
        <v>9</v>
      </c>
    </row>
    <row r="392" spans="1:14">
      <c r="A392" s="4" t="s">
        <v>768</v>
      </c>
      <c r="B392" s="4" t="s">
        <v>751</v>
      </c>
      <c r="C392" s="4">
        <f t="shared" si="24"/>
        <v>2026</v>
      </c>
      <c r="D392" s="4" t="str">
        <f t="shared" si="25"/>
        <v>September</v>
      </c>
      <c r="E392" s="4" t="str">
        <f t="shared" si="26"/>
        <v>Tuesday</v>
      </c>
      <c r="F392" s="4" t="s">
        <v>769</v>
      </c>
      <c r="G392" s="4">
        <f t="shared" si="27"/>
        <v>17</v>
      </c>
      <c r="H392" s="4" t="s">
        <v>62</v>
      </c>
      <c r="I392" s="4" t="s">
        <v>63</v>
      </c>
      <c r="J392" s="4">
        <v>3</v>
      </c>
      <c r="K392" s="5">
        <v>10</v>
      </c>
      <c r="L392" s="4" t="s">
        <v>26</v>
      </c>
      <c r="M392" s="4" t="s">
        <v>44</v>
      </c>
      <c r="N392" s="5">
        <v>30</v>
      </c>
    </row>
    <row r="393" spans="1:14">
      <c r="A393" s="4" t="s">
        <v>770</v>
      </c>
      <c r="B393" s="4" t="s">
        <v>771</v>
      </c>
      <c r="C393" s="4">
        <f t="shared" si="24"/>
        <v>2026</v>
      </c>
      <c r="D393" s="4" t="str">
        <f t="shared" si="25"/>
        <v>September</v>
      </c>
      <c r="E393" s="4" t="str">
        <f t="shared" si="26"/>
        <v>Wednesday</v>
      </c>
      <c r="F393" s="4" t="s">
        <v>772</v>
      </c>
      <c r="G393" s="4">
        <f t="shared" si="27"/>
        <v>9</v>
      </c>
      <c r="H393" s="4" t="s">
        <v>38</v>
      </c>
      <c r="I393" s="4" t="s">
        <v>14</v>
      </c>
      <c r="J393" s="4">
        <v>1</v>
      </c>
      <c r="K393" s="5">
        <v>9</v>
      </c>
      <c r="L393" s="4" t="s">
        <v>15</v>
      </c>
      <c r="M393" s="4" t="s">
        <v>16</v>
      </c>
      <c r="N393" s="5">
        <v>9</v>
      </c>
    </row>
    <row r="394" spans="1:14">
      <c r="A394" s="4" t="s">
        <v>773</v>
      </c>
      <c r="B394" s="4" t="s">
        <v>771</v>
      </c>
      <c r="C394" s="4">
        <f t="shared" si="24"/>
        <v>2026</v>
      </c>
      <c r="D394" s="4" t="str">
        <f t="shared" si="25"/>
        <v>September</v>
      </c>
      <c r="E394" s="4" t="str">
        <f t="shared" si="26"/>
        <v>Wednesday</v>
      </c>
      <c r="F394" s="4" t="s">
        <v>774</v>
      </c>
      <c r="G394" s="4">
        <f t="shared" si="27"/>
        <v>9</v>
      </c>
      <c r="H394" s="4" t="s">
        <v>54</v>
      </c>
      <c r="I394" s="4" t="s">
        <v>30</v>
      </c>
      <c r="J394" s="4">
        <v>1</v>
      </c>
      <c r="K394" s="5">
        <v>8</v>
      </c>
      <c r="L394" s="4" t="s">
        <v>41</v>
      </c>
      <c r="M394" s="4" t="s">
        <v>16</v>
      </c>
      <c r="N394" s="5">
        <v>8</v>
      </c>
    </row>
    <row r="395" spans="1:14">
      <c r="A395" s="4" t="s">
        <v>775</v>
      </c>
      <c r="B395" s="4" t="s">
        <v>771</v>
      </c>
      <c r="C395" s="4">
        <f t="shared" si="24"/>
        <v>2026</v>
      </c>
      <c r="D395" s="4" t="str">
        <f t="shared" si="25"/>
        <v>September</v>
      </c>
      <c r="E395" s="4" t="str">
        <f t="shared" si="26"/>
        <v>Wednesday</v>
      </c>
      <c r="F395" s="4" t="s">
        <v>776</v>
      </c>
      <c r="G395" s="4">
        <f t="shared" si="27"/>
        <v>10</v>
      </c>
      <c r="H395" s="4" t="s">
        <v>21</v>
      </c>
      <c r="I395" s="4" t="s">
        <v>14</v>
      </c>
      <c r="J395" s="4">
        <v>1</v>
      </c>
      <c r="K395" s="5">
        <v>12</v>
      </c>
      <c r="L395" s="4" t="s">
        <v>26</v>
      </c>
      <c r="M395" s="4" t="s">
        <v>16</v>
      </c>
      <c r="N395" s="5">
        <v>12</v>
      </c>
    </row>
    <row r="396" spans="1:14">
      <c r="A396" s="4" t="s">
        <v>777</v>
      </c>
      <c r="B396" s="4" t="s">
        <v>771</v>
      </c>
      <c r="C396" s="4">
        <f t="shared" si="24"/>
        <v>2026</v>
      </c>
      <c r="D396" s="4" t="str">
        <f t="shared" si="25"/>
        <v>September</v>
      </c>
      <c r="E396" s="4" t="str">
        <f t="shared" si="26"/>
        <v>Wednesday</v>
      </c>
      <c r="F396" s="4" t="s">
        <v>778</v>
      </c>
      <c r="G396" s="4">
        <f t="shared" si="27"/>
        <v>10</v>
      </c>
      <c r="H396" s="4" t="s">
        <v>72</v>
      </c>
      <c r="I396" s="4" t="s">
        <v>14</v>
      </c>
      <c r="J396" s="4">
        <v>1</v>
      </c>
      <c r="K396" s="5">
        <v>14</v>
      </c>
      <c r="L396" s="4" t="s">
        <v>26</v>
      </c>
      <c r="M396" s="4" t="s">
        <v>16</v>
      </c>
      <c r="N396" s="5">
        <v>14</v>
      </c>
    </row>
    <row r="397" spans="1:14">
      <c r="A397" s="4" t="s">
        <v>779</v>
      </c>
      <c r="B397" s="4" t="s">
        <v>771</v>
      </c>
      <c r="C397" s="4">
        <f t="shared" si="24"/>
        <v>2026</v>
      </c>
      <c r="D397" s="4" t="str">
        <f t="shared" si="25"/>
        <v>September</v>
      </c>
      <c r="E397" s="4" t="str">
        <f t="shared" si="26"/>
        <v>Wednesday</v>
      </c>
      <c r="F397" s="4" t="s">
        <v>780</v>
      </c>
      <c r="G397" s="4">
        <f t="shared" si="27"/>
        <v>12</v>
      </c>
      <c r="H397" s="4" t="s">
        <v>24</v>
      </c>
      <c r="I397" s="4" t="s">
        <v>25</v>
      </c>
      <c r="J397" s="4">
        <v>1</v>
      </c>
      <c r="K397" s="5">
        <v>14</v>
      </c>
      <c r="L397" s="4" t="s">
        <v>26</v>
      </c>
      <c r="M397" s="4" t="s">
        <v>16</v>
      </c>
      <c r="N397" s="5">
        <v>14</v>
      </c>
    </row>
    <row r="398" spans="1:14">
      <c r="A398" s="4" t="s">
        <v>781</v>
      </c>
      <c r="B398" s="4" t="s">
        <v>771</v>
      </c>
      <c r="C398" s="4">
        <f t="shared" si="24"/>
        <v>2026</v>
      </c>
      <c r="D398" s="4" t="str">
        <f t="shared" si="25"/>
        <v>September</v>
      </c>
      <c r="E398" s="4" t="str">
        <f t="shared" si="26"/>
        <v>Wednesday</v>
      </c>
      <c r="F398" s="4" t="s">
        <v>782</v>
      </c>
      <c r="G398" s="4">
        <f t="shared" si="27"/>
        <v>12</v>
      </c>
      <c r="H398" s="4" t="s">
        <v>35</v>
      </c>
      <c r="I398" s="4" t="s">
        <v>14</v>
      </c>
      <c r="J398" s="4">
        <v>1</v>
      </c>
      <c r="K398" s="5">
        <v>13</v>
      </c>
      <c r="L398" s="4" t="s">
        <v>15</v>
      </c>
      <c r="M398" s="4" t="s">
        <v>44</v>
      </c>
      <c r="N398" s="5">
        <v>13</v>
      </c>
    </row>
    <row r="399" spans="1:14">
      <c r="A399" s="4" t="s">
        <v>783</v>
      </c>
      <c r="B399" s="4" t="s">
        <v>771</v>
      </c>
      <c r="C399" s="4">
        <f t="shared" si="24"/>
        <v>2026</v>
      </c>
      <c r="D399" s="4" t="str">
        <f t="shared" si="25"/>
        <v>September</v>
      </c>
      <c r="E399" s="4" t="str">
        <f t="shared" si="26"/>
        <v>Wednesday</v>
      </c>
      <c r="F399" s="4" t="s">
        <v>735</v>
      </c>
      <c r="G399" s="4">
        <f t="shared" si="27"/>
        <v>12</v>
      </c>
      <c r="H399" s="4" t="s">
        <v>62</v>
      </c>
      <c r="I399" s="4" t="s">
        <v>63</v>
      </c>
      <c r="J399" s="4">
        <v>2</v>
      </c>
      <c r="K399" s="5">
        <v>10</v>
      </c>
      <c r="L399" s="4" t="s">
        <v>15</v>
      </c>
      <c r="M399" s="4" t="s">
        <v>16</v>
      </c>
      <c r="N399" s="5">
        <v>20</v>
      </c>
    </row>
    <row r="400" spans="1:14">
      <c r="A400" s="4" t="s">
        <v>784</v>
      </c>
      <c r="B400" s="4" t="s">
        <v>771</v>
      </c>
      <c r="C400" s="4">
        <f t="shared" si="24"/>
        <v>2026</v>
      </c>
      <c r="D400" s="4" t="str">
        <f t="shared" si="25"/>
        <v>September</v>
      </c>
      <c r="E400" s="4" t="str">
        <f t="shared" si="26"/>
        <v>Wednesday</v>
      </c>
      <c r="F400" s="4" t="s">
        <v>785</v>
      </c>
      <c r="G400" s="4">
        <f t="shared" si="27"/>
        <v>13</v>
      </c>
      <c r="H400" s="4" t="s">
        <v>21</v>
      </c>
      <c r="I400" s="4" t="s">
        <v>14</v>
      </c>
      <c r="J400" s="4">
        <v>2</v>
      </c>
      <c r="K400" s="5">
        <v>12</v>
      </c>
      <c r="L400" s="4" t="s">
        <v>26</v>
      </c>
      <c r="M400" s="4" t="s">
        <v>44</v>
      </c>
      <c r="N400" s="5">
        <v>24</v>
      </c>
    </row>
    <row r="401" spans="1:14">
      <c r="A401" s="4" t="s">
        <v>786</v>
      </c>
      <c r="B401" s="4" t="s">
        <v>771</v>
      </c>
      <c r="C401" s="4">
        <f t="shared" si="24"/>
        <v>2026</v>
      </c>
      <c r="D401" s="4" t="str">
        <f t="shared" si="25"/>
        <v>September</v>
      </c>
      <c r="E401" s="4" t="str">
        <f t="shared" si="26"/>
        <v>Wednesday</v>
      </c>
      <c r="F401" s="4" t="s">
        <v>415</v>
      </c>
      <c r="G401" s="4">
        <f t="shared" si="27"/>
        <v>13</v>
      </c>
      <c r="H401" s="4" t="s">
        <v>24</v>
      </c>
      <c r="I401" s="4" t="s">
        <v>25</v>
      </c>
      <c r="J401" s="4">
        <v>1</v>
      </c>
      <c r="K401" s="5">
        <v>14</v>
      </c>
      <c r="L401" s="4" t="s">
        <v>41</v>
      </c>
      <c r="M401" s="4" t="s">
        <v>16</v>
      </c>
      <c r="N401" s="5">
        <v>14</v>
      </c>
    </row>
    <row r="402" spans="1:14">
      <c r="A402" s="4" t="s">
        <v>787</v>
      </c>
      <c r="B402" s="4" t="s">
        <v>771</v>
      </c>
      <c r="C402" s="4">
        <f t="shared" si="24"/>
        <v>2026</v>
      </c>
      <c r="D402" s="4" t="str">
        <f t="shared" si="25"/>
        <v>September</v>
      </c>
      <c r="E402" s="4" t="str">
        <f t="shared" si="26"/>
        <v>Wednesday</v>
      </c>
      <c r="F402" s="4" t="s">
        <v>788</v>
      </c>
      <c r="G402" s="4">
        <f t="shared" si="27"/>
        <v>13</v>
      </c>
      <c r="H402" s="4" t="s">
        <v>51</v>
      </c>
      <c r="I402" s="4" t="s">
        <v>14</v>
      </c>
      <c r="J402" s="4">
        <v>1</v>
      </c>
      <c r="K402" s="5">
        <v>7</v>
      </c>
      <c r="L402" s="4" t="s">
        <v>26</v>
      </c>
      <c r="M402" s="4" t="s">
        <v>44</v>
      </c>
      <c r="N402" s="5">
        <v>7</v>
      </c>
    </row>
    <row r="403" spans="1:14">
      <c r="A403" s="4" t="s">
        <v>789</v>
      </c>
      <c r="B403" s="4" t="s">
        <v>771</v>
      </c>
      <c r="C403" s="4">
        <f t="shared" si="24"/>
        <v>2026</v>
      </c>
      <c r="D403" s="4" t="str">
        <f t="shared" si="25"/>
        <v>September</v>
      </c>
      <c r="E403" s="4" t="str">
        <f t="shared" si="26"/>
        <v>Wednesday</v>
      </c>
      <c r="F403" s="4" t="s">
        <v>790</v>
      </c>
      <c r="G403" s="4">
        <f t="shared" si="27"/>
        <v>15</v>
      </c>
      <c r="H403" s="4" t="s">
        <v>105</v>
      </c>
      <c r="I403" s="4" t="s">
        <v>25</v>
      </c>
      <c r="J403" s="4">
        <v>1</v>
      </c>
      <c r="K403" s="5">
        <v>12</v>
      </c>
      <c r="L403" s="4" t="s">
        <v>15</v>
      </c>
      <c r="M403" s="4" t="s">
        <v>44</v>
      </c>
      <c r="N403" s="5">
        <v>12</v>
      </c>
    </row>
    <row r="404" spans="1:14">
      <c r="A404" s="4" t="s">
        <v>791</v>
      </c>
      <c r="B404" s="4" t="s">
        <v>771</v>
      </c>
      <c r="C404" s="4">
        <f t="shared" si="24"/>
        <v>2026</v>
      </c>
      <c r="D404" s="4" t="str">
        <f t="shared" si="25"/>
        <v>September</v>
      </c>
      <c r="E404" s="4" t="str">
        <f t="shared" si="26"/>
        <v>Wednesday</v>
      </c>
      <c r="F404" s="4" t="s">
        <v>792</v>
      </c>
      <c r="G404" s="4">
        <f t="shared" si="27"/>
        <v>17</v>
      </c>
      <c r="H404" s="4" t="s">
        <v>54</v>
      </c>
      <c r="I404" s="4" t="s">
        <v>30</v>
      </c>
      <c r="J404" s="4">
        <v>2</v>
      </c>
      <c r="K404" s="5">
        <v>8</v>
      </c>
      <c r="L404" s="4" t="s">
        <v>26</v>
      </c>
      <c r="M404" s="4" t="s">
        <v>16</v>
      </c>
      <c r="N404" s="5">
        <v>16</v>
      </c>
    </row>
    <row r="405" spans="1:14">
      <c r="A405" s="4" t="s">
        <v>793</v>
      </c>
      <c r="B405" s="4" t="s">
        <v>771</v>
      </c>
      <c r="C405" s="4">
        <f t="shared" si="24"/>
        <v>2026</v>
      </c>
      <c r="D405" s="4" t="str">
        <f t="shared" si="25"/>
        <v>September</v>
      </c>
      <c r="E405" s="4" t="str">
        <f t="shared" si="26"/>
        <v>Wednesday</v>
      </c>
      <c r="F405" s="4" t="s">
        <v>720</v>
      </c>
      <c r="G405" s="4">
        <f t="shared" si="27"/>
        <v>17</v>
      </c>
      <c r="H405" s="4" t="s">
        <v>51</v>
      </c>
      <c r="I405" s="4" t="s">
        <v>14</v>
      </c>
      <c r="J405" s="4">
        <v>1</v>
      </c>
      <c r="K405" s="5">
        <v>7</v>
      </c>
      <c r="L405" s="4" t="s">
        <v>41</v>
      </c>
      <c r="M405" s="4" t="s">
        <v>44</v>
      </c>
      <c r="N405" s="5">
        <v>7</v>
      </c>
    </row>
    <row r="406" spans="1:14">
      <c r="A406" s="4" t="s">
        <v>794</v>
      </c>
      <c r="B406" s="4" t="s">
        <v>771</v>
      </c>
      <c r="C406" s="4">
        <f t="shared" si="24"/>
        <v>2026</v>
      </c>
      <c r="D406" s="4" t="str">
        <f t="shared" si="25"/>
        <v>September</v>
      </c>
      <c r="E406" s="4" t="str">
        <f t="shared" si="26"/>
        <v>Wednesday</v>
      </c>
      <c r="F406" s="4" t="s">
        <v>795</v>
      </c>
      <c r="G406" s="4">
        <f t="shared" si="27"/>
        <v>17</v>
      </c>
      <c r="H406" s="4" t="s">
        <v>54</v>
      </c>
      <c r="I406" s="4" t="s">
        <v>30</v>
      </c>
      <c r="J406" s="4">
        <v>1</v>
      </c>
      <c r="K406" s="5">
        <v>8</v>
      </c>
      <c r="L406" s="4" t="s">
        <v>26</v>
      </c>
      <c r="M406" s="4" t="s">
        <v>16</v>
      </c>
      <c r="N406" s="5">
        <v>8</v>
      </c>
    </row>
    <row r="407" spans="1:14">
      <c r="A407" s="4" t="s">
        <v>796</v>
      </c>
      <c r="B407" s="4" t="s">
        <v>771</v>
      </c>
      <c r="C407" s="4">
        <f t="shared" si="24"/>
        <v>2026</v>
      </c>
      <c r="D407" s="4" t="str">
        <f t="shared" si="25"/>
        <v>September</v>
      </c>
      <c r="E407" s="4" t="str">
        <f t="shared" si="26"/>
        <v>Wednesday</v>
      </c>
      <c r="F407" s="4" t="s">
        <v>797</v>
      </c>
      <c r="G407" s="4">
        <f t="shared" si="27"/>
        <v>17</v>
      </c>
      <c r="H407" s="4" t="s">
        <v>72</v>
      </c>
      <c r="I407" s="4" t="s">
        <v>14</v>
      </c>
      <c r="J407" s="4">
        <v>2</v>
      </c>
      <c r="K407" s="5">
        <v>14</v>
      </c>
      <c r="L407" s="4" t="s">
        <v>15</v>
      </c>
      <c r="M407" s="4" t="s">
        <v>16</v>
      </c>
      <c r="N407" s="5">
        <v>28</v>
      </c>
    </row>
    <row r="408" spans="1:14">
      <c r="A408" s="4" t="s">
        <v>798</v>
      </c>
      <c r="B408" s="4" t="s">
        <v>771</v>
      </c>
      <c r="C408" s="4">
        <f t="shared" si="24"/>
        <v>2026</v>
      </c>
      <c r="D408" s="4" t="str">
        <f t="shared" si="25"/>
        <v>September</v>
      </c>
      <c r="E408" s="4" t="str">
        <f t="shared" si="26"/>
        <v>Wednesday</v>
      </c>
      <c r="F408" s="4" t="s">
        <v>799</v>
      </c>
      <c r="G408" s="4">
        <f t="shared" si="27"/>
        <v>18</v>
      </c>
      <c r="H408" s="4" t="s">
        <v>29</v>
      </c>
      <c r="I408" s="4" t="s">
        <v>30</v>
      </c>
      <c r="J408" s="4">
        <v>1</v>
      </c>
      <c r="K408" s="5">
        <v>9</v>
      </c>
      <c r="L408" s="4" t="s">
        <v>26</v>
      </c>
      <c r="M408" s="4" t="s">
        <v>44</v>
      </c>
      <c r="N408" s="5">
        <v>9</v>
      </c>
    </row>
    <row r="409" spans="1:14">
      <c r="A409" s="4" t="s">
        <v>800</v>
      </c>
      <c r="B409" s="4" t="s">
        <v>771</v>
      </c>
      <c r="C409" s="4">
        <f t="shared" si="24"/>
        <v>2026</v>
      </c>
      <c r="D409" s="4" t="str">
        <f t="shared" si="25"/>
        <v>September</v>
      </c>
      <c r="E409" s="4" t="str">
        <f t="shared" si="26"/>
        <v>Wednesday</v>
      </c>
      <c r="F409" s="4" t="s">
        <v>801</v>
      </c>
      <c r="G409" s="4">
        <f t="shared" si="27"/>
        <v>19</v>
      </c>
      <c r="H409" s="4" t="s">
        <v>54</v>
      </c>
      <c r="I409" s="4" t="s">
        <v>30</v>
      </c>
      <c r="J409" s="4">
        <v>1</v>
      </c>
      <c r="K409" s="5">
        <v>8</v>
      </c>
      <c r="L409" s="4" t="s">
        <v>26</v>
      </c>
      <c r="M409" s="4" t="s">
        <v>44</v>
      </c>
      <c r="N409" s="5">
        <v>8</v>
      </c>
    </row>
    <row r="410" spans="1:14">
      <c r="A410" s="4" t="s">
        <v>802</v>
      </c>
      <c r="B410" s="4" t="s">
        <v>771</v>
      </c>
      <c r="C410" s="4">
        <f t="shared" si="24"/>
        <v>2026</v>
      </c>
      <c r="D410" s="4" t="str">
        <f t="shared" si="25"/>
        <v>September</v>
      </c>
      <c r="E410" s="4" t="str">
        <f t="shared" si="26"/>
        <v>Wednesday</v>
      </c>
      <c r="F410" s="4" t="s">
        <v>383</v>
      </c>
      <c r="G410" s="4">
        <f t="shared" si="27"/>
        <v>19</v>
      </c>
      <c r="H410" s="4" t="s">
        <v>38</v>
      </c>
      <c r="I410" s="4" t="s">
        <v>14</v>
      </c>
      <c r="J410" s="4">
        <v>1</v>
      </c>
      <c r="K410" s="5">
        <v>9</v>
      </c>
      <c r="L410" s="4" t="s">
        <v>41</v>
      </c>
      <c r="M410" s="4" t="s">
        <v>44</v>
      </c>
      <c r="N410" s="5">
        <v>9</v>
      </c>
    </row>
    <row r="411" spans="1:14">
      <c r="A411" s="4" t="s">
        <v>803</v>
      </c>
      <c r="B411" s="4" t="s">
        <v>804</v>
      </c>
      <c r="C411" s="4">
        <f t="shared" si="24"/>
        <v>2026</v>
      </c>
      <c r="D411" s="4" t="str">
        <f t="shared" si="25"/>
        <v>September</v>
      </c>
      <c r="E411" s="4" t="str">
        <f t="shared" si="26"/>
        <v>Thursday</v>
      </c>
      <c r="F411" s="4" t="s">
        <v>284</v>
      </c>
      <c r="G411" s="4">
        <f t="shared" si="27"/>
        <v>8</v>
      </c>
      <c r="H411" s="4" t="s">
        <v>21</v>
      </c>
      <c r="I411" s="4" t="s">
        <v>14</v>
      </c>
      <c r="J411" s="4">
        <v>1</v>
      </c>
      <c r="K411" s="5">
        <v>12</v>
      </c>
      <c r="L411" s="4" t="s">
        <v>26</v>
      </c>
      <c r="M411" s="4" t="s">
        <v>16</v>
      </c>
      <c r="N411" s="5">
        <v>12</v>
      </c>
    </row>
    <row r="412" spans="1:14">
      <c r="A412" s="4" t="s">
        <v>805</v>
      </c>
      <c r="B412" s="4" t="s">
        <v>804</v>
      </c>
      <c r="C412" s="4">
        <f t="shared" si="24"/>
        <v>2026</v>
      </c>
      <c r="D412" s="4" t="str">
        <f t="shared" si="25"/>
        <v>September</v>
      </c>
      <c r="E412" s="4" t="str">
        <f t="shared" si="26"/>
        <v>Thursday</v>
      </c>
      <c r="F412" s="4" t="s">
        <v>806</v>
      </c>
      <c r="G412" s="4">
        <f t="shared" si="27"/>
        <v>8</v>
      </c>
      <c r="H412" s="4" t="s">
        <v>115</v>
      </c>
      <c r="I412" s="4" t="s">
        <v>63</v>
      </c>
      <c r="J412" s="4">
        <v>1</v>
      </c>
      <c r="K412" s="5">
        <v>16</v>
      </c>
      <c r="L412" s="4" t="s">
        <v>41</v>
      </c>
      <c r="M412" s="4" t="s">
        <v>44</v>
      </c>
      <c r="N412" s="5">
        <v>16</v>
      </c>
    </row>
    <row r="413" spans="1:14">
      <c r="A413" s="4" t="s">
        <v>807</v>
      </c>
      <c r="B413" s="4" t="s">
        <v>804</v>
      </c>
      <c r="C413" s="4">
        <f t="shared" si="24"/>
        <v>2026</v>
      </c>
      <c r="D413" s="4" t="str">
        <f t="shared" si="25"/>
        <v>September</v>
      </c>
      <c r="E413" s="4" t="str">
        <f t="shared" si="26"/>
        <v>Thursday</v>
      </c>
      <c r="F413" s="4" t="s">
        <v>703</v>
      </c>
      <c r="G413" s="4">
        <f t="shared" si="27"/>
        <v>11</v>
      </c>
      <c r="H413" s="4" t="s">
        <v>38</v>
      </c>
      <c r="I413" s="4" t="s">
        <v>14</v>
      </c>
      <c r="J413" s="4">
        <v>1</v>
      </c>
      <c r="K413" s="5">
        <v>9</v>
      </c>
      <c r="L413" s="4" t="s">
        <v>15</v>
      </c>
      <c r="M413" s="4" t="s">
        <v>44</v>
      </c>
      <c r="N413" s="5">
        <v>9</v>
      </c>
    </row>
    <row r="414" spans="1:14">
      <c r="A414" s="4" t="s">
        <v>808</v>
      </c>
      <c r="B414" s="4" t="s">
        <v>804</v>
      </c>
      <c r="C414" s="4">
        <f t="shared" si="24"/>
        <v>2026</v>
      </c>
      <c r="D414" s="4" t="str">
        <f t="shared" si="25"/>
        <v>September</v>
      </c>
      <c r="E414" s="4" t="str">
        <f t="shared" si="26"/>
        <v>Thursday</v>
      </c>
      <c r="F414" s="4" t="s">
        <v>298</v>
      </c>
      <c r="G414" s="4">
        <f t="shared" si="27"/>
        <v>11</v>
      </c>
      <c r="H414" s="4" t="s">
        <v>54</v>
      </c>
      <c r="I414" s="4" t="s">
        <v>30</v>
      </c>
      <c r="J414" s="4">
        <v>1</v>
      </c>
      <c r="K414" s="5">
        <v>8</v>
      </c>
      <c r="L414" s="4" t="s">
        <v>15</v>
      </c>
      <c r="M414" s="4" t="s">
        <v>44</v>
      </c>
      <c r="N414" s="5">
        <v>8</v>
      </c>
    </row>
    <row r="415" spans="1:14">
      <c r="A415" s="4" t="s">
        <v>809</v>
      </c>
      <c r="B415" s="4" t="s">
        <v>804</v>
      </c>
      <c r="C415" s="4">
        <f t="shared" si="24"/>
        <v>2026</v>
      </c>
      <c r="D415" s="4" t="str">
        <f t="shared" si="25"/>
        <v>September</v>
      </c>
      <c r="E415" s="4" t="str">
        <f t="shared" si="26"/>
        <v>Thursday</v>
      </c>
      <c r="F415" s="4" t="s">
        <v>810</v>
      </c>
      <c r="G415" s="4">
        <f t="shared" si="27"/>
        <v>12</v>
      </c>
      <c r="H415" s="4" t="s">
        <v>115</v>
      </c>
      <c r="I415" s="4" t="s">
        <v>63</v>
      </c>
      <c r="J415" s="4">
        <v>1</v>
      </c>
      <c r="K415" s="5">
        <v>16</v>
      </c>
      <c r="L415" s="4" t="s">
        <v>41</v>
      </c>
      <c r="M415" s="4" t="s">
        <v>44</v>
      </c>
      <c r="N415" s="5">
        <v>16</v>
      </c>
    </row>
    <row r="416" spans="1:14">
      <c r="A416" s="4" t="s">
        <v>811</v>
      </c>
      <c r="B416" s="4" t="s">
        <v>804</v>
      </c>
      <c r="C416" s="4">
        <f t="shared" si="24"/>
        <v>2026</v>
      </c>
      <c r="D416" s="4" t="str">
        <f t="shared" si="25"/>
        <v>September</v>
      </c>
      <c r="E416" s="4" t="str">
        <f t="shared" si="26"/>
        <v>Thursday</v>
      </c>
      <c r="F416" s="4" t="s">
        <v>812</v>
      </c>
      <c r="G416" s="4">
        <f t="shared" si="27"/>
        <v>13</v>
      </c>
      <c r="H416" s="4" t="s">
        <v>72</v>
      </c>
      <c r="I416" s="4" t="s">
        <v>14</v>
      </c>
      <c r="J416" s="4">
        <v>2</v>
      </c>
      <c r="K416" s="5">
        <v>14</v>
      </c>
      <c r="L416" s="4" t="s">
        <v>26</v>
      </c>
      <c r="M416" s="4" t="s">
        <v>44</v>
      </c>
      <c r="N416" s="5">
        <v>28</v>
      </c>
    </row>
    <row r="417" spans="1:14">
      <c r="A417" s="4" t="s">
        <v>813</v>
      </c>
      <c r="B417" s="4" t="s">
        <v>804</v>
      </c>
      <c r="C417" s="4">
        <f t="shared" si="24"/>
        <v>2026</v>
      </c>
      <c r="D417" s="4" t="str">
        <f t="shared" si="25"/>
        <v>September</v>
      </c>
      <c r="E417" s="4" t="str">
        <f t="shared" si="26"/>
        <v>Thursday</v>
      </c>
      <c r="F417" s="4" t="s">
        <v>814</v>
      </c>
      <c r="G417" s="4">
        <f t="shared" si="27"/>
        <v>15</v>
      </c>
      <c r="H417" s="4" t="s">
        <v>105</v>
      </c>
      <c r="I417" s="4" t="s">
        <v>25</v>
      </c>
      <c r="J417" s="4">
        <v>1</v>
      </c>
      <c r="K417" s="5">
        <v>12</v>
      </c>
      <c r="L417" s="4" t="s">
        <v>26</v>
      </c>
      <c r="M417" s="4" t="s">
        <v>44</v>
      </c>
      <c r="N417" s="5">
        <v>12</v>
      </c>
    </row>
    <row r="418" spans="1:14">
      <c r="A418" s="4" t="s">
        <v>815</v>
      </c>
      <c r="B418" s="4" t="s">
        <v>804</v>
      </c>
      <c r="C418" s="4">
        <f t="shared" si="24"/>
        <v>2026</v>
      </c>
      <c r="D418" s="4" t="str">
        <f t="shared" si="25"/>
        <v>September</v>
      </c>
      <c r="E418" s="4" t="str">
        <f t="shared" si="26"/>
        <v>Thursday</v>
      </c>
      <c r="F418" s="4" t="s">
        <v>528</v>
      </c>
      <c r="G418" s="4">
        <f t="shared" si="27"/>
        <v>15</v>
      </c>
      <c r="H418" s="4" t="s">
        <v>35</v>
      </c>
      <c r="I418" s="4" t="s">
        <v>14</v>
      </c>
      <c r="J418" s="4">
        <v>1</v>
      </c>
      <c r="K418" s="5">
        <v>13</v>
      </c>
      <c r="L418" s="4" t="s">
        <v>41</v>
      </c>
      <c r="M418" s="4" t="s">
        <v>16</v>
      </c>
      <c r="N418" s="5">
        <v>13</v>
      </c>
    </row>
    <row r="419" spans="1:14">
      <c r="A419" s="4" t="s">
        <v>816</v>
      </c>
      <c r="B419" s="4" t="s">
        <v>804</v>
      </c>
      <c r="C419" s="4">
        <f t="shared" si="24"/>
        <v>2026</v>
      </c>
      <c r="D419" s="4" t="str">
        <f t="shared" si="25"/>
        <v>September</v>
      </c>
      <c r="E419" s="4" t="str">
        <f t="shared" si="26"/>
        <v>Thursday</v>
      </c>
      <c r="F419" s="4" t="s">
        <v>817</v>
      </c>
      <c r="G419" s="4">
        <f t="shared" si="27"/>
        <v>17</v>
      </c>
      <c r="H419" s="4" t="s">
        <v>29</v>
      </c>
      <c r="I419" s="4" t="s">
        <v>30</v>
      </c>
      <c r="J419" s="4">
        <v>2</v>
      </c>
      <c r="K419" s="5">
        <v>9</v>
      </c>
      <c r="L419" s="4" t="s">
        <v>26</v>
      </c>
      <c r="M419" s="4" t="s">
        <v>16</v>
      </c>
      <c r="N419" s="5">
        <v>18</v>
      </c>
    </row>
    <row r="420" spans="1:14">
      <c r="A420" s="4" t="s">
        <v>818</v>
      </c>
      <c r="B420" s="4" t="s">
        <v>804</v>
      </c>
      <c r="C420" s="4">
        <f t="shared" si="24"/>
        <v>2026</v>
      </c>
      <c r="D420" s="4" t="str">
        <f t="shared" si="25"/>
        <v>September</v>
      </c>
      <c r="E420" s="4" t="str">
        <f t="shared" si="26"/>
        <v>Thursday</v>
      </c>
      <c r="F420" s="4" t="s">
        <v>819</v>
      </c>
      <c r="G420" s="4">
        <f t="shared" si="27"/>
        <v>18</v>
      </c>
      <c r="H420" s="4" t="s">
        <v>38</v>
      </c>
      <c r="I420" s="4" t="s">
        <v>14</v>
      </c>
      <c r="J420" s="4">
        <v>1</v>
      </c>
      <c r="K420" s="5">
        <v>9</v>
      </c>
      <c r="L420" s="4" t="s">
        <v>41</v>
      </c>
      <c r="M420" s="4" t="s">
        <v>16</v>
      </c>
      <c r="N420" s="5">
        <v>9</v>
      </c>
    </row>
    <row r="421" spans="1:14">
      <c r="A421" s="4" t="s">
        <v>820</v>
      </c>
      <c r="B421" s="4" t="s">
        <v>804</v>
      </c>
      <c r="C421" s="4">
        <f t="shared" si="24"/>
        <v>2026</v>
      </c>
      <c r="D421" s="4" t="str">
        <f t="shared" si="25"/>
        <v>September</v>
      </c>
      <c r="E421" s="4" t="str">
        <f t="shared" si="26"/>
        <v>Thursday</v>
      </c>
      <c r="F421" s="4" t="s">
        <v>653</v>
      </c>
      <c r="G421" s="4">
        <f t="shared" si="27"/>
        <v>19</v>
      </c>
      <c r="H421" s="4" t="s">
        <v>13</v>
      </c>
      <c r="I421" s="4" t="s">
        <v>14</v>
      </c>
      <c r="J421" s="4">
        <v>3</v>
      </c>
      <c r="K421" s="5">
        <v>15</v>
      </c>
      <c r="L421" s="4" t="s">
        <v>26</v>
      </c>
      <c r="M421" s="4" t="s">
        <v>16</v>
      </c>
      <c r="N421" s="5">
        <v>45</v>
      </c>
    </row>
    <row r="422" spans="1:14">
      <c r="A422" s="4" t="s">
        <v>821</v>
      </c>
      <c r="B422" s="4" t="s">
        <v>822</v>
      </c>
      <c r="C422" s="4">
        <f t="shared" si="24"/>
        <v>2026</v>
      </c>
      <c r="D422" s="4" t="str">
        <f t="shared" si="25"/>
        <v>September</v>
      </c>
      <c r="E422" s="4" t="str">
        <f t="shared" si="26"/>
        <v>Friday</v>
      </c>
      <c r="F422" s="4" t="s">
        <v>469</v>
      </c>
      <c r="G422" s="4">
        <f t="shared" si="27"/>
        <v>8</v>
      </c>
      <c r="H422" s="4" t="s">
        <v>24</v>
      </c>
      <c r="I422" s="4" t="s">
        <v>25</v>
      </c>
      <c r="J422" s="4">
        <v>1</v>
      </c>
      <c r="K422" s="5">
        <v>14</v>
      </c>
      <c r="L422" s="4" t="s">
        <v>15</v>
      </c>
      <c r="M422" s="4" t="s">
        <v>44</v>
      </c>
      <c r="N422" s="5">
        <v>14</v>
      </c>
    </row>
    <row r="423" spans="1:14">
      <c r="A423" s="4" t="s">
        <v>823</v>
      </c>
      <c r="B423" s="4" t="s">
        <v>822</v>
      </c>
      <c r="C423" s="4">
        <f t="shared" si="24"/>
        <v>2026</v>
      </c>
      <c r="D423" s="4" t="str">
        <f t="shared" si="25"/>
        <v>September</v>
      </c>
      <c r="E423" s="4" t="str">
        <f t="shared" si="26"/>
        <v>Friday</v>
      </c>
      <c r="F423" s="4" t="s">
        <v>824</v>
      </c>
      <c r="G423" s="4">
        <f t="shared" si="27"/>
        <v>9</v>
      </c>
      <c r="H423" s="4" t="s">
        <v>21</v>
      </c>
      <c r="I423" s="4" t="s">
        <v>14</v>
      </c>
      <c r="J423" s="4">
        <v>1</v>
      </c>
      <c r="K423" s="5">
        <v>12</v>
      </c>
      <c r="L423" s="4" t="s">
        <v>26</v>
      </c>
      <c r="M423" s="4" t="s">
        <v>16</v>
      </c>
      <c r="N423" s="5">
        <v>12</v>
      </c>
    </row>
    <row r="424" spans="1:14">
      <c r="A424" s="4" t="s">
        <v>825</v>
      </c>
      <c r="B424" s="4" t="s">
        <v>822</v>
      </c>
      <c r="C424" s="4">
        <f t="shared" si="24"/>
        <v>2026</v>
      </c>
      <c r="D424" s="4" t="str">
        <f t="shared" si="25"/>
        <v>September</v>
      </c>
      <c r="E424" s="4" t="str">
        <f t="shared" si="26"/>
        <v>Friday</v>
      </c>
      <c r="F424" s="4" t="s">
        <v>562</v>
      </c>
      <c r="G424" s="4">
        <f t="shared" si="27"/>
        <v>9</v>
      </c>
      <c r="H424" s="4" t="s">
        <v>38</v>
      </c>
      <c r="I424" s="4" t="s">
        <v>14</v>
      </c>
      <c r="J424" s="4">
        <v>1</v>
      </c>
      <c r="K424" s="5">
        <v>9</v>
      </c>
      <c r="L424" s="4" t="s">
        <v>15</v>
      </c>
      <c r="M424" s="4" t="s">
        <v>16</v>
      </c>
      <c r="N424" s="5">
        <v>9</v>
      </c>
    </row>
    <row r="425" spans="1:14">
      <c r="A425" s="4" t="s">
        <v>826</v>
      </c>
      <c r="B425" s="4" t="s">
        <v>822</v>
      </c>
      <c r="C425" s="4">
        <f t="shared" si="24"/>
        <v>2026</v>
      </c>
      <c r="D425" s="4" t="str">
        <f t="shared" si="25"/>
        <v>September</v>
      </c>
      <c r="E425" s="4" t="str">
        <f t="shared" si="26"/>
        <v>Friday</v>
      </c>
      <c r="F425" s="4" t="s">
        <v>827</v>
      </c>
      <c r="G425" s="4">
        <f t="shared" si="27"/>
        <v>10</v>
      </c>
      <c r="H425" s="4" t="s">
        <v>35</v>
      </c>
      <c r="I425" s="4" t="s">
        <v>14</v>
      </c>
      <c r="J425" s="4">
        <v>1</v>
      </c>
      <c r="K425" s="5">
        <v>13</v>
      </c>
      <c r="L425" s="4" t="s">
        <v>15</v>
      </c>
      <c r="M425" s="4" t="s">
        <v>44</v>
      </c>
      <c r="N425" s="5">
        <v>13</v>
      </c>
    </row>
    <row r="426" spans="1:14">
      <c r="A426" s="4" t="s">
        <v>828</v>
      </c>
      <c r="B426" s="4" t="s">
        <v>822</v>
      </c>
      <c r="C426" s="4">
        <f t="shared" si="24"/>
        <v>2026</v>
      </c>
      <c r="D426" s="4" t="str">
        <f t="shared" si="25"/>
        <v>September</v>
      </c>
      <c r="E426" s="4" t="str">
        <f t="shared" si="26"/>
        <v>Friday</v>
      </c>
      <c r="F426" s="4" t="s">
        <v>829</v>
      </c>
      <c r="G426" s="4">
        <f t="shared" si="27"/>
        <v>11</v>
      </c>
      <c r="H426" s="4" t="s">
        <v>51</v>
      </c>
      <c r="I426" s="4" t="s">
        <v>14</v>
      </c>
      <c r="J426" s="4">
        <v>1</v>
      </c>
      <c r="K426" s="5">
        <v>7</v>
      </c>
      <c r="L426" s="4" t="s">
        <v>26</v>
      </c>
      <c r="M426" s="4" t="s">
        <v>44</v>
      </c>
      <c r="N426" s="5">
        <v>7</v>
      </c>
    </row>
    <row r="427" spans="1:14">
      <c r="A427" s="4" t="s">
        <v>830</v>
      </c>
      <c r="B427" s="4" t="s">
        <v>822</v>
      </c>
      <c r="C427" s="4">
        <f t="shared" si="24"/>
        <v>2026</v>
      </c>
      <c r="D427" s="4" t="str">
        <f t="shared" si="25"/>
        <v>September</v>
      </c>
      <c r="E427" s="4" t="str">
        <f t="shared" si="26"/>
        <v>Friday</v>
      </c>
      <c r="F427" s="4" t="s">
        <v>649</v>
      </c>
      <c r="G427" s="4">
        <f t="shared" si="27"/>
        <v>14</v>
      </c>
      <c r="H427" s="4" t="s">
        <v>21</v>
      </c>
      <c r="I427" s="4" t="s">
        <v>14</v>
      </c>
      <c r="J427" s="4">
        <v>1</v>
      </c>
      <c r="K427" s="5">
        <v>12</v>
      </c>
      <c r="L427" s="4" t="s">
        <v>26</v>
      </c>
      <c r="M427" s="4" t="s">
        <v>16</v>
      </c>
      <c r="N427" s="5">
        <v>12</v>
      </c>
    </row>
    <row r="428" spans="1:14">
      <c r="A428" s="4" t="s">
        <v>831</v>
      </c>
      <c r="B428" s="4" t="s">
        <v>822</v>
      </c>
      <c r="C428" s="4">
        <f t="shared" si="24"/>
        <v>2026</v>
      </c>
      <c r="D428" s="4" t="str">
        <f t="shared" si="25"/>
        <v>September</v>
      </c>
      <c r="E428" s="4" t="str">
        <f t="shared" si="26"/>
        <v>Friday</v>
      </c>
      <c r="F428" s="4" t="s">
        <v>362</v>
      </c>
      <c r="G428" s="4">
        <f t="shared" si="27"/>
        <v>15</v>
      </c>
      <c r="H428" s="4" t="s">
        <v>54</v>
      </c>
      <c r="I428" s="4" t="s">
        <v>30</v>
      </c>
      <c r="J428" s="4">
        <v>1</v>
      </c>
      <c r="K428" s="5">
        <v>8</v>
      </c>
      <c r="L428" s="4" t="s">
        <v>26</v>
      </c>
      <c r="M428" s="4" t="s">
        <v>44</v>
      </c>
      <c r="N428" s="5">
        <v>8</v>
      </c>
    </row>
    <row r="429" spans="1:14">
      <c r="A429" s="4" t="s">
        <v>832</v>
      </c>
      <c r="B429" s="4" t="s">
        <v>822</v>
      </c>
      <c r="C429" s="4">
        <f t="shared" si="24"/>
        <v>2026</v>
      </c>
      <c r="D429" s="4" t="str">
        <f t="shared" si="25"/>
        <v>September</v>
      </c>
      <c r="E429" s="4" t="str">
        <f t="shared" si="26"/>
        <v>Friday</v>
      </c>
      <c r="F429" s="4" t="s">
        <v>362</v>
      </c>
      <c r="G429" s="4">
        <f t="shared" si="27"/>
        <v>15</v>
      </c>
      <c r="H429" s="4" t="s">
        <v>21</v>
      </c>
      <c r="I429" s="4" t="s">
        <v>14</v>
      </c>
      <c r="J429" s="4">
        <v>2</v>
      </c>
      <c r="K429" s="5">
        <v>12</v>
      </c>
      <c r="L429" s="4" t="s">
        <v>26</v>
      </c>
      <c r="M429" s="4" t="s">
        <v>16</v>
      </c>
      <c r="N429" s="5">
        <v>24</v>
      </c>
    </row>
    <row r="430" spans="1:14">
      <c r="A430" s="4" t="s">
        <v>833</v>
      </c>
      <c r="B430" s="4" t="s">
        <v>822</v>
      </c>
      <c r="C430" s="4">
        <f t="shared" si="24"/>
        <v>2026</v>
      </c>
      <c r="D430" s="4" t="str">
        <f t="shared" si="25"/>
        <v>September</v>
      </c>
      <c r="E430" s="4" t="str">
        <f t="shared" si="26"/>
        <v>Friday</v>
      </c>
      <c r="F430" s="4" t="s">
        <v>104</v>
      </c>
      <c r="G430" s="4">
        <f t="shared" si="27"/>
        <v>16</v>
      </c>
      <c r="H430" s="4" t="s">
        <v>72</v>
      </c>
      <c r="I430" s="4" t="s">
        <v>14</v>
      </c>
      <c r="J430" s="4">
        <v>2</v>
      </c>
      <c r="K430" s="5">
        <v>14</v>
      </c>
      <c r="L430" s="4" t="s">
        <v>15</v>
      </c>
      <c r="M430" s="4" t="s">
        <v>16</v>
      </c>
      <c r="N430" s="5">
        <v>28</v>
      </c>
    </row>
    <row r="431" spans="1:14">
      <c r="A431" s="4" t="s">
        <v>834</v>
      </c>
      <c r="B431" s="4" t="s">
        <v>822</v>
      </c>
      <c r="C431" s="4">
        <f t="shared" si="24"/>
        <v>2026</v>
      </c>
      <c r="D431" s="4" t="str">
        <f t="shared" si="25"/>
        <v>September</v>
      </c>
      <c r="E431" s="4" t="str">
        <f t="shared" si="26"/>
        <v>Friday</v>
      </c>
      <c r="F431" s="4" t="s">
        <v>742</v>
      </c>
      <c r="G431" s="4">
        <f t="shared" si="27"/>
        <v>17</v>
      </c>
      <c r="H431" s="4" t="s">
        <v>72</v>
      </c>
      <c r="I431" s="4" t="s">
        <v>14</v>
      </c>
      <c r="J431" s="4">
        <v>1</v>
      </c>
      <c r="K431" s="5">
        <v>14</v>
      </c>
      <c r="L431" s="4" t="s">
        <v>26</v>
      </c>
      <c r="M431" s="4" t="s">
        <v>44</v>
      </c>
      <c r="N431" s="5">
        <v>14</v>
      </c>
    </row>
    <row r="432" spans="1:14">
      <c r="A432" s="4" t="s">
        <v>835</v>
      </c>
      <c r="B432" s="4" t="s">
        <v>822</v>
      </c>
      <c r="C432" s="4">
        <f t="shared" si="24"/>
        <v>2026</v>
      </c>
      <c r="D432" s="4" t="str">
        <f t="shared" si="25"/>
        <v>September</v>
      </c>
      <c r="E432" s="4" t="str">
        <f t="shared" si="26"/>
        <v>Friday</v>
      </c>
      <c r="F432" s="4" t="s">
        <v>192</v>
      </c>
      <c r="G432" s="4">
        <f t="shared" si="27"/>
        <v>17</v>
      </c>
      <c r="H432" s="4" t="s">
        <v>51</v>
      </c>
      <c r="I432" s="4" t="s">
        <v>14</v>
      </c>
      <c r="J432" s="4">
        <v>2</v>
      </c>
      <c r="K432" s="5">
        <v>7</v>
      </c>
      <c r="L432" s="4" t="s">
        <v>26</v>
      </c>
      <c r="M432" s="4" t="s">
        <v>16</v>
      </c>
      <c r="N432" s="5">
        <v>14</v>
      </c>
    </row>
    <row r="433" spans="1:14">
      <c r="A433" s="4" t="s">
        <v>836</v>
      </c>
      <c r="B433" s="4" t="s">
        <v>822</v>
      </c>
      <c r="C433" s="4">
        <f t="shared" si="24"/>
        <v>2026</v>
      </c>
      <c r="D433" s="4" t="str">
        <f t="shared" si="25"/>
        <v>September</v>
      </c>
      <c r="E433" s="4" t="str">
        <f t="shared" si="26"/>
        <v>Friday</v>
      </c>
      <c r="F433" s="4" t="s">
        <v>634</v>
      </c>
      <c r="G433" s="4">
        <f t="shared" si="27"/>
        <v>19</v>
      </c>
      <c r="H433" s="4" t="s">
        <v>38</v>
      </c>
      <c r="I433" s="4" t="s">
        <v>14</v>
      </c>
      <c r="J433" s="4">
        <v>1</v>
      </c>
      <c r="K433" s="5">
        <v>9</v>
      </c>
      <c r="L433" s="4" t="s">
        <v>41</v>
      </c>
      <c r="M433" s="4" t="s">
        <v>16</v>
      </c>
      <c r="N433" s="5">
        <v>9</v>
      </c>
    </row>
    <row r="434" spans="1:14">
      <c r="A434" s="4" t="s">
        <v>837</v>
      </c>
      <c r="B434" s="4" t="s">
        <v>838</v>
      </c>
      <c r="C434" s="4">
        <f t="shared" si="24"/>
        <v>2026</v>
      </c>
      <c r="D434" s="4" t="str">
        <f t="shared" si="25"/>
        <v>September</v>
      </c>
      <c r="E434" s="4" t="str">
        <f t="shared" si="26"/>
        <v>Saturday</v>
      </c>
      <c r="F434" s="4" t="s">
        <v>839</v>
      </c>
      <c r="G434" s="4">
        <f t="shared" si="27"/>
        <v>8</v>
      </c>
      <c r="H434" s="4" t="s">
        <v>21</v>
      </c>
      <c r="I434" s="4" t="s">
        <v>14</v>
      </c>
      <c r="J434" s="4">
        <v>4</v>
      </c>
      <c r="K434" s="5">
        <v>12</v>
      </c>
      <c r="L434" s="4" t="s">
        <v>15</v>
      </c>
      <c r="M434" s="4" t="s">
        <v>16</v>
      </c>
      <c r="N434" s="5">
        <v>48</v>
      </c>
    </row>
    <row r="435" spans="1:14">
      <c r="A435" s="4" t="s">
        <v>840</v>
      </c>
      <c r="B435" s="4" t="s">
        <v>838</v>
      </c>
      <c r="C435" s="4">
        <f t="shared" si="24"/>
        <v>2026</v>
      </c>
      <c r="D435" s="4" t="str">
        <f t="shared" si="25"/>
        <v>September</v>
      </c>
      <c r="E435" s="4" t="str">
        <f t="shared" si="26"/>
        <v>Saturday</v>
      </c>
      <c r="F435" s="4" t="s">
        <v>760</v>
      </c>
      <c r="G435" s="4">
        <f t="shared" si="27"/>
        <v>10</v>
      </c>
      <c r="H435" s="4" t="s">
        <v>35</v>
      </c>
      <c r="I435" s="4" t="s">
        <v>14</v>
      </c>
      <c r="J435" s="4">
        <v>2</v>
      </c>
      <c r="K435" s="5">
        <v>13</v>
      </c>
      <c r="L435" s="4" t="s">
        <v>26</v>
      </c>
      <c r="M435" s="4" t="s">
        <v>44</v>
      </c>
      <c r="N435" s="5">
        <v>26</v>
      </c>
    </row>
    <row r="436" spans="1:14">
      <c r="A436" s="4" t="s">
        <v>841</v>
      </c>
      <c r="B436" s="4" t="s">
        <v>838</v>
      </c>
      <c r="C436" s="4">
        <f t="shared" si="24"/>
        <v>2026</v>
      </c>
      <c r="D436" s="4" t="str">
        <f t="shared" si="25"/>
        <v>September</v>
      </c>
      <c r="E436" s="4" t="str">
        <f t="shared" si="26"/>
        <v>Saturday</v>
      </c>
      <c r="F436" s="4" t="s">
        <v>205</v>
      </c>
      <c r="G436" s="4">
        <f t="shared" si="27"/>
        <v>13</v>
      </c>
      <c r="H436" s="4" t="s">
        <v>13</v>
      </c>
      <c r="I436" s="4" t="s">
        <v>14</v>
      </c>
      <c r="J436" s="4">
        <v>2</v>
      </c>
      <c r="K436" s="5">
        <v>15</v>
      </c>
      <c r="L436" s="4" t="s">
        <v>41</v>
      </c>
      <c r="M436" s="4" t="s">
        <v>16</v>
      </c>
      <c r="N436" s="5">
        <v>30</v>
      </c>
    </row>
    <row r="437" spans="1:14">
      <c r="A437" s="4" t="s">
        <v>842</v>
      </c>
      <c r="B437" s="4" t="s">
        <v>838</v>
      </c>
      <c r="C437" s="4">
        <f t="shared" si="24"/>
        <v>2026</v>
      </c>
      <c r="D437" s="4" t="str">
        <f t="shared" si="25"/>
        <v>September</v>
      </c>
      <c r="E437" s="4" t="str">
        <f t="shared" si="26"/>
        <v>Saturday</v>
      </c>
      <c r="F437" s="4" t="s">
        <v>241</v>
      </c>
      <c r="G437" s="4">
        <f t="shared" si="27"/>
        <v>14</v>
      </c>
      <c r="H437" s="4" t="s">
        <v>21</v>
      </c>
      <c r="I437" s="4" t="s">
        <v>14</v>
      </c>
      <c r="J437" s="4">
        <v>4</v>
      </c>
      <c r="K437" s="5">
        <v>12</v>
      </c>
      <c r="L437" s="4" t="s">
        <v>26</v>
      </c>
      <c r="M437" s="4" t="s">
        <v>16</v>
      </c>
      <c r="N437" s="5">
        <v>48</v>
      </c>
    </row>
    <row r="438" spans="1:14">
      <c r="A438" s="4" t="s">
        <v>843</v>
      </c>
      <c r="B438" s="4" t="s">
        <v>838</v>
      </c>
      <c r="C438" s="4">
        <f t="shared" si="24"/>
        <v>2026</v>
      </c>
      <c r="D438" s="4" t="str">
        <f t="shared" si="25"/>
        <v>September</v>
      </c>
      <c r="E438" s="4" t="str">
        <f t="shared" si="26"/>
        <v>Saturday</v>
      </c>
      <c r="F438" s="4" t="s">
        <v>267</v>
      </c>
      <c r="G438" s="4">
        <f t="shared" si="27"/>
        <v>14</v>
      </c>
      <c r="H438" s="4" t="s">
        <v>72</v>
      </c>
      <c r="I438" s="4" t="s">
        <v>14</v>
      </c>
      <c r="J438" s="4">
        <v>1</v>
      </c>
      <c r="K438" s="5">
        <v>14</v>
      </c>
      <c r="L438" s="4" t="s">
        <v>26</v>
      </c>
      <c r="M438" s="4" t="s">
        <v>16</v>
      </c>
      <c r="N438" s="5">
        <v>14</v>
      </c>
    </row>
    <row r="439" spans="1:14">
      <c r="A439" s="4" t="s">
        <v>844</v>
      </c>
      <c r="B439" s="4" t="s">
        <v>838</v>
      </c>
      <c r="C439" s="4">
        <f t="shared" si="24"/>
        <v>2026</v>
      </c>
      <c r="D439" s="4" t="str">
        <f t="shared" si="25"/>
        <v>September</v>
      </c>
      <c r="E439" s="4" t="str">
        <f t="shared" si="26"/>
        <v>Saturday</v>
      </c>
      <c r="F439" s="4" t="s">
        <v>525</v>
      </c>
      <c r="G439" s="4">
        <f t="shared" si="27"/>
        <v>15</v>
      </c>
      <c r="H439" s="4" t="s">
        <v>115</v>
      </c>
      <c r="I439" s="4" t="s">
        <v>63</v>
      </c>
      <c r="J439" s="4">
        <v>1</v>
      </c>
      <c r="K439" s="5">
        <v>16</v>
      </c>
      <c r="L439" s="4" t="s">
        <v>26</v>
      </c>
      <c r="M439" s="4" t="s">
        <v>44</v>
      </c>
      <c r="N439" s="5">
        <v>16</v>
      </c>
    </row>
    <row r="440" spans="1:14">
      <c r="A440" s="4" t="s">
        <v>845</v>
      </c>
      <c r="B440" s="4" t="s">
        <v>838</v>
      </c>
      <c r="C440" s="4">
        <f t="shared" si="24"/>
        <v>2026</v>
      </c>
      <c r="D440" s="4" t="str">
        <f t="shared" si="25"/>
        <v>September</v>
      </c>
      <c r="E440" s="4" t="str">
        <f t="shared" si="26"/>
        <v>Saturday</v>
      </c>
      <c r="F440" s="4" t="s">
        <v>846</v>
      </c>
      <c r="G440" s="4">
        <f t="shared" si="27"/>
        <v>16</v>
      </c>
      <c r="H440" s="4" t="s">
        <v>62</v>
      </c>
      <c r="I440" s="4" t="s">
        <v>63</v>
      </c>
      <c r="J440" s="4">
        <v>3</v>
      </c>
      <c r="K440" s="5">
        <v>10</v>
      </c>
      <c r="L440" s="4" t="s">
        <v>41</v>
      </c>
      <c r="M440" s="4" t="s">
        <v>16</v>
      </c>
      <c r="N440" s="5">
        <v>30</v>
      </c>
    </row>
    <row r="441" spans="1:14">
      <c r="A441" s="4" t="s">
        <v>847</v>
      </c>
      <c r="B441" s="4" t="s">
        <v>838</v>
      </c>
      <c r="C441" s="4">
        <f t="shared" si="24"/>
        <v>2026</v>
      </c>
      <c r="D441" s="4" t="str">
        <f t="shared" si="25"/>
        <v>September</v>
      </c>
      <c r="E441" s="4" t="str">
        <f t="shared" si="26"/>
        <v>Saturday</v>
      </c>
      <c r="F441" s="4" t="s">
        <v>328</v>
      </c>
      <c r="G441" s="4">
        <f t="shared" si="27"/>
        <v>17</v>
      </c>
      <c r="H441" s="4" t="s">
        <v>54</v>
      </c>
      <c r="I441" s="4" t="s">
        <v>30</v>
      </c>
      <c r="J441" s="4">
        <v>2</v>
      </c>
      <c r="K441" s="5">
        <v>8</v>
      </c>
      <c r="L441" s="4" t="s">
        <v>15</v>
      </c>
      <c r="M441" s="4" t="s">
        <v>44</v>
      </c>
      <c r="N441" s="5">
        <v>16</v>
      </c>
    </row>
    <row r="442" spans="1:14">
      <c r="A442" s="4" t="s">
        <v>848</v>
      </c>
      <c r="B442" s="4" t="s">
        <v>838</v>
      </c>
      <c r="C442" s="4">
        <f t="shared" si="24"/>
        <v>2026</v>
      </c>
      <c r="D442" s="4" t="str">
        <f t="shared" si="25"/>
        <v>September</v>
      </c>
      <c r="E442" s="4" t="str">
        <f t="shared" si="26"/>
        <v>Saturday</v>
      </c>
      <c r="F442" s="4" t="s">
        <v>849</v>
      </c>
      <c r="G442" s="4">
        <f t="shared" si="27"/>
        <v>18</v>
      </c>
      <c r="H442" s="4" t="s">
        <v>115</v>
      </c>
      <c r="I442" s="4" t="s">
        <v>63</v>
      </c>
      <c r="J442" s="4">
        <v>1</v>
      </c>
      <c r="K442" s="5">
        <v>16</v>
      </c>
      <c r="L442" s="4" t="s">
        <v>26</v>
      </c>
      <c r="M442" s="4" t="s">
        <v>44</v>
      </c>
      <c r="N442" s="5">
        <v>16</v>
      </c>
    </row>
    <row r="443" spans="1:14">
      <c r="A443" s="4" t="s">
        <v>850</v>
      </c>
      <c r="B443" s="4" t="s">
        <v>838</v>
      </c>
      <c r="C443" s="4">
        <f t="shared" si="24"/>
        <v>2026</v>
      </c>
      <c r="D443" s="4" t="str">
        <f t="shared" si="25"/>
        <v>September</v>
      </c>
      <c r="E443" s="4" t="str">
        <f t="shared" si="26"/>
        <v>Saturday</v>
      </c>
      <c r="F443" s="4" t="s">
        <v>851</v>
      </c>
      <c r="G443" s="4">
        <f t="shared" si="27"/>
        <v>19</v>
      </c>
      <c r="H443" s="4" t="s">
        <v>38</v>
      </c>
      <c r="I443" s="4" t="s">
        <v>14</v>
      </c>
      <c r="J443" s="4">
        <v>2</v>
      </c>
      <c r="K443" s="5">
        <v>9</v>
      </c>
      <c r="L443" s="4" t="s">
        <v>41</v>
      </c>
      <c r="M443" s="4" t="s">
        <v>44</v>
      </c>
      <c r="N443" s="5">
        <v>18</v>
      </c>
    </row>
    <row r="444" spans="1:14">
      <c r="A444" s="4" t="s">
        <v>852</v>
      </c>
      <c r="B444" s="4" t="s">
        <v>853</v>
      </c>
      <c r="C444" s="4">
        <f t="shared" si="24"/>
        <v>2026</v>
      </c>
      <c r="D444" s="4" t="str">
        <f t="shared" si="25"/>
        <v>September</v>
      </c>
      <c r="E444" s="4" t="str">
        <f t="shared" si="26"/>
        <v>Sunday</v>
      </c>
      <c r="F444" s="4" t="s">
        <v>57</v>
      </c>
      <c r="G444" s="4">
        <f t="shared" si="27"/>
        <v>8</v>
      </c>
      <c r="H444" s="4" t="s">
        <v>35</v>
      </c>
      <c r="I444" s="4" t="s">
        <v>14</v>
      </c>
      <c r="J444" s="4">
        <v>1</v>
      </c>
      <c r="K444" s="5">
        <v>13</v>
      </c>
      <c r="L444" s="4" t="s">
        <v>26</v>
      </c>
      <c r="M444" s="4" t="s">
        <v>44</v>
      </c>
      <c r="N444" s="5">
        <v>13</v>
      </c>
    </row>
    <row r="445" spans="1:14">
      <c r="A445" s="4" t="s">
        <v>854</v>
      </c>
      <c r="B445" s="4" t="s">
        <v>853</v>
      </c>
      <c r="C445" s="4">
        <f t="shared" si="24"/>
        <v>2026</v>
      </c>
      <c r="D445" s="4" t="str">
        <f t="shared" si="25"/>
        <v>September</v>
      </c>
      <c r="E445" s="4" t="str">
        <f t="shared" si="26"/>
        <v>Sunday</v>
      </c>
      <c r="F445" s="4" t="s">
        <v>855</v>
      </c>
      <c r="G445" s="4">
        <f t="shared" si="27"/>
        <v>9</v>
      </c>
      <c r="H445" s="4" t="s">
        <v>29</v>
      </c>
      <c r="I445" s="4" t="s">
        <v>30</v>
      </c>
      <c r="J445" s="4">
        <v>1</v>
      </c>
      <c r="K445" s="5">
        <v>9</v>
      </c>
      <c r="L445" s="4" t="s">
        <v>15</v>
      </c>
      <c r="M445" s="4" t="s">
        <v>44</v>
      </c>
      <c r="N445" s="5">
        <v>9</v>
      </c>
    </row>
    <row r="446" spans="1:14">
      <c r="A446" s="4" t="s">
        <v>856</v>
      </c>
      <c r="B446" s="4" t="s">
        <v>853</v>
      </c>
      <c r="C446" s="4">
        <f t="shared" si="24"/>
        <v>2026</v>
      </c>
      <c r="D446" s="4" t="str">
        <f t="shared" si="25"/>
        <v>September</v>
      </c>
      <c r="E446" s="4" t="str">
        <f t="shared" si="26"/>
        <v>Sunday</v>
      </c>
      <c r="F446" s="4" t="s">
        <v>857</v>
      </c>
      <c r="G446" s="4">
        <f t="shared" si="27"/>
        <v>9</v>
      </c>
      <c r="H446" s="4" t="s">
        <v>38</v>
      </c>
      <c r="I446" s="4" t="s">
        <v>14</v>
      </c>
      <c r="J446" s="4">
        <v>1</v>
      </c>
      <c r="K446" s="5">
        <v>9</v>
      </c>
      <c r="L446" s="4" t="s">
        <v>26</v>
      </c>
      <c r="M446" s="4" t="s">
        <v>16</v>
      </c>
      <c r="N446" s="5">
        <v>9</v>
      </c>
    </row>
    <row r="447" spans="1:14">
      <c r="A447" s="4" t="s">
        <v>858</v>
      </c>
      <c r="B447" s="4" t="s">
        <v>853</v>
      </c>
      <c r="C447" s="4">
        <f t="shared" si="24"/>
        <v>2026</v>
      </c>
      <c r="D447" s="4" t="str">
        <f t="shared" si="25"/>
        <v>September</v>
      </c>
      <c r="E447" s="4" t="str">
        <f t="shared" si="26"/>
        <v>Sunday</v>
      </c>
      <c r="F447" s="4" t="s">
        <v>473</v>
      </c>
      <c r="G447" s="4">
        <f t="shared" si="27"/>
        <v>10</v>
      </c>
      <c r="H447" s="4" t="s">
        <v>115</v>
      </c>
      <c r="I447" s="4" t="s">
        <v>63</v>
      </c>
      <c r="J447" s="4">
        <v>1</v>
      </c>
      <c r="K447" s="5">
        <v>16</v>
      </c>
      <c r="L447" s="4" t="s">
        <v>26</v>
      </c>
      <c r="M447" s="4" t="s">
        <v>16</v>
      </c>
      <c r="N447" s="5">
        <v>16</v>
      </c>
    </row>
    <row r="448" spans="1:14">
      <c r="A448" s="4" t="s">
        <v>859</v>
      </c>
      <c r="B448" s="4" t="s">
        <v>853</v>
      </c>
      <c r="C448" s="4">
        <f t="shared" si="24"/>
        <v>2026</v>
      </c>
      <c r="D448" s="4" t="str">
        <f t="shared" si="25"/>
        <v>September</v>
      </c>
      <c r="E448" s="4" t="str">
        <f t="shared" si="26"/>
        <v>Sunday</v>
      </c>
      <c r="F448" s="4" t="s">
        <v>860</v>
      </c>
      <c r="G448" s="4">
        <f t="shared" si="27"/>
        <v>11</v>
      </c>
      <c r="H448" s="4" t="s">
        <v>38</v>
      </c>
      <c r="I448" s="4" t="s">
        <v>14</v>
      </c>
      <c r="J448" s="4">
        <v>2</v>
      </c>
      <c r="K448" s="5">
        <v>9</v>
      </c>
      <c r="L448" s="4" t="s">
        <v>26</v>
      </c>
      <c r="M448" s="4" t="s">
        <v>44</v>
      </c>
      <c r="N448" s="5">
        <v>18</v>
      </c>
    </row>
    <row r="449" spans="1:14">
      <c r="A449" s="4" t="s">
        <v>861</v>
      </c>
      <c r="B449" s="4" t="s">
        <v>853</v>
      </c>
      <c r="C449" s="4">
        <f t="shared" si="24"/>
        <v>2026</v>
      </c>
      <c r="D449" s="4" t="str">
        <f t="shared" si="25"/>
        <v>September</v>
      </c>
      <c r="E449" s="4" t="str">
        <f t="shared" si="26"/>
        <v>Sunday</v>
      </c>
      <c r="F449" s="4" t="s">
        <v>618</v>
      </c>
      <c r="G449" s="4">
        <f t="shared" si="27"/>
        <v>12</v>
      </c>
      <c r="H449" s="4" t="s">
        <v>62</v>
      </c>
      <c r="I449" s="4" t="s">
        <v>63</v>
      </c>
      <c r="J449" s="4">
        <v>2</v>
      </c>
      <c r="K449" s="5">
        <v>10</v>
      </c>
      <c r="L449" s="4" t="s">
        <v>26</v>
      </c>
      <c r="M449" s="4" t="s">
        <v>16</v>
      </c>
      <c r="N449" s="5">
        <v>20</v>
      </c>
    </row>
    <row r="450" spans="1:14">
      <c r="A450" s="4" t="s">
        <v>862</v>
      </c>
      <c r="B450" s="4" t="s">
        <v>853</v>
      </c>
      <c r="C450" s="4">
        <f t="shared" si="24"/>
        <v>2026</v>
      </c>
      <c r="D450" s="4" t="str">
        <f t="shared" si="25"/>
        <v>September</v>
      </c>
      <c r="E450" s="4" t="str">
        <f t="shared" si="26"/>
        <v>Sunday</v>
      </c>
      <c r="F450" s="4" t="s">
        <v>863</v>
      </c>
      <c r="G450" s="4">
        <f t="shared" si="27"/>
        <v>13</v>
      </c>
      <c r="H450" s="4" t="s">
        <v>115</v>
      </c>
      <c r="I450" s="4" t="s">
        <v>63</v>
      </c>
      <c r="J450" s="4">
        <v>3</v>
      </c>
      <c r="K450" s="5">
        <v>16</v>
      </c>
      <c r="L450" s="4" t="s">
        <v>41</v>
      </c>
      <c r="M450" s="4" t="s">
        <v>44</v>
      </c>
      <c r="N450" s="5">
        <v>48</v>
      </c>
    </row>
    <row r="451" spans="1:14">
      <c r="A451" s="4" t="s">
        <v>864</v>
      </c>
      <c r="B451" s="4" t="s">
        <v>853</v>
      </c>
      <c r="C451" s="4">
        <f t="shared" ref="C451:C514" si="28">YEAR(B451)</f>
        <v>2026</v>
      </c>
      <c r="D451" s="4" t="str">
        <f t="shared" ref="D451:D514" si="29">TEXT(B451,"mmmm")</f>
        <v>September</v>
      </c>
      <c r="E451" s="4" t="str">
        <f t="shared" ref="E451:E514" si="30">TEXT(B451,"dddd")</f>
        <v>Sunday</v>
      </c>
      <c r="F451" s="4" t="s">
        <v>98</v>
      </c>
      <c r="G451" s="4">
        <f t="shared" ref="G451:G514" si="31">HOUR(F451)</f>
        <v>14</v>
      </c>
      <c r="H451" s="4" t="s">
        <v>21</v>
      </c>
      <c r="I451" s="4" t="s">
        <v>14</v>
      </c>
      <c r="J451" s="4">
        <v>3</v>
      </c>
      <c r="K451" s="5">
        <v>12</v>
      </c>
      <c r="L451" s="4" t="s">
        <v>26</v>
      </c>
      <c r="M451" s="4" t="s">
        <v>16</v>
      </c>
      <c r="N451" s="5">
        <v>36</v>
      </c>
    </row>
    <row r="452" spans="1:14">
      <c r="A452" s="4" t="s">
        <v>865</v>
      </c>
      <c r="B452" s="4" t="s">
        <v>853</v>
      </c>
      <c r="C452" s="4">
        <f t="shared" si="28"/>
        <v>2026</v>
      </c>
      <c r="D452" s="4" t="str">
        <f t="shared" si="29"/>
        <v>September</v>
      </c>
      <c r="E452" s="4" t="str">
        <f t="shared" si="30"/>
        <v>Sunday</v>
      </c>
      <c r="F452" s="4" t="s">
        <v>649</v>
      </c>
      <c r="G452" s="4">
        <f t="shared" si="31"/>
        <v>14</v>
      </c>
      <c r="H452" s="4" t="s">
        <v>115</v>
      </c>
      <c r="I452" s="4" t="s">
        <v>63</v>
      </c>
      <c r="J452" s="4">
        <v>1</v>
      </c>
      <c r="K452" s="5">
        <v>16</v>
      </c>
      <c r="L452" s="4" t="s">
        <v>26</v>
      </c>
      <c r="M452" s="4" t="s">
        <v>44</v>
      </c>
      <c r="N452" s="5">
        <v>16</v>
      </c>
    </row>
    <row r="453" spans="1:14">
      <c r="A453" s="4" t="s">
        <v>866</v>
      </c>
      <c r="B453" s="4" t="s">
        <v>853</v>
      </c>
      <c r="C453" s="4">
        <f t="shared" si="28"/>
        <v>2026</v>
      </c>
      <c r="D453" s="4" t="str">
        <f t="shared" si="29"/>
        <v>September</v>
      </c>
      <c r="E453" s="4" t="str">
        <f t="shared" si="30"/>
        <v>Sunday</v>
      </c>
      <c r="F453" s="4" t="s">
        <v>270</v>
      </c>
      <c r="G453" s="4">
        <f t="shared" si="31"/>
        <v>15</v>
      </c>
      <c r="H453" s="4" t="s">
        <v>54</v>
      </c>
      <c r="I453" s="4" t="s">
        <v>30</v>
      </c>
      <c r="J453" s="4">
        <v>1</v>
      </c>
      <c r="K453" s="5">
        <v>8</v>
      </c>
      <c r="L453" s="4" t="s">
        <v>26</v>
      </c>
      <c r="M453" s="4" t="s">
        <v>16</v>
      </c>
      <c r="N453" s="5">
        <v>8</v>
      </c>
    </row>
    <row r="454" spans="1:14">
      <c r="A454" s="4" t="s">
        <v>867</v>
      </c>
      <c r="B454" s="4" t="s">
        <v>853</v>
      </c>
      <c r="C454" s="4">
        <f t="shared" si="28"/>
        <v>2026</v>
      </c>
      <c r="D454" s="4" t="str">
        <f t="shared" si="29"/>
        <v>September</v>
      </c>
      <c r="E454" s="4" t="str">
        <f t="shared" si="30"/>
        <v>Sunday</v>
      </c>
      <c r="F454" s="4" t="s">
        <v>868</v>
      </c>
      <c r="G454" s="4">
        <f t="shared" si="31"/>
        <v>16</v>
      </c>
      <c r="H454" s="4" t="s">
        <v>105</v>
      </c>
      <c r="I454" s="4" t="s">
        <v>25</v>
      </c>
      <c r="J454" s="4">
        <v>1</v>
      </c>
      <c r="K454" s="5">
        <v>12</v>
      </c>
      <c r="L454" s="4" t="s">
        <v>15</v>
      </c>
      <c r="M454" s="4" t="s">
        <v>16</v>
      </c>
      <c r="N454" s="5">
        <v>12</v>
      </c>
    </row>
    <row r="455" spans="1:14">
      <c r="A455" s="4" t="s">
        <v>869</v>
      </c>
      <c r="B455" s="4" t="s">
        <v>853</v>
      </c>
      <c r="C455" s="4">
        <f t="shared" si="28"/>
        <v>2026</v>
      </c>
      <c r="D455" s="4" t="str">
        <f t="shared" si="29"/>
        <v>September</v>
      </c>
      <c r="E455" s="4" t="str">
        <f t="shared" si="30"/>
        <v>Sunday</v>
      </c>
      <c r="F455" s="4" t="s">
        <v>870</v>
      </c>
      <c r="G455" s="4">
        <f t="shared" si="31"/>
        <v>16</v>
      </c>
      <c r="H455" s="4" t="s">
        <v>35</v>
      </c>
      <c r="I455" s="4" t="s">
        <v>14</v>
      </c>
      <c r="J455" s="4">
        <v>3</v>
      </c>
      <c r="K455" s="5">
        <v>13</v>
      </c>
      <c r="L455" s="4" t="s">
        <v>41</v>
      </c>
      <c r="M455" s="4" t="s">
        <v>16</v>
      </c>
      <c r="N455" s="5">
        <v>39</v>
      </c>
    </row>
    <row r="456" spans="1:14">
      <c r="A456" s="4" t="s">
        <v>871</v>
      </c>
      <c r="B456" s="4" t="s">
        <v>853</v>
      </c>
      <c r="C456" s="4">
        <f t="shared" si="28"/>
        <v>2026</v>
      </c>
      <c r="D456" s="4" t="str">
        <f t="shared" si="29"/>
        <v>September</v>
      </c>
      <c r="E456" s="4" t="str">
        <f t="shared" si="30"/>
        <v>Sunday</v>
      </c>
      <c r="F456" s="4" t="s">
        <v>769</v>
      </c>
      <c r="G456" s="4">
        <f t="shared" si="31"/>
        <v>17</v>
      </c>
      <c r="H456" s="4" t="s">
        <v>29</v>
      </c>
      <c r="I456" s="4" t="s">
        <v>30</v>
      </c>
      <c r="J456" s="4">
        <v>2</v>
      </c>
      <c r="K456" s="5">
        <v>9</v>
      </c>
      <c r="L456" s="4" t="s">
        <v>26</v>
      </c>
      <c r="M456" s="4" t="s">
        <v>16</v>
      </c>
      <c r="N456" s="5">
        <v>18</v>
      </c>
    </row>
    <row r="457" spans="1:14">
      <c r="A457" s="4" t="s">
        <v>872</v>
      </c>
      <c r="B457" s="4" t="s">
        <v>853</v>
      </c>
      <c r="C457" s="4">
        <f t="shared" si="28"/>
        <v>2026</v>
      </c>
      <c r="D457" s="4" t="str">
        <f t="shared" si="29"/>
        <v>September</v>
      </c>
      <c r="E457" s="4" t="str">
        <f t="shared" si="30"/>
        <v>Sunday</v>
      </c>
      <c r="F457" s="4" t="s">
        <v>873</v>
      </c>
      <c r="G457" s="4">
        <f t="shared" si="31"/>
        <v>17</v>
      </c>
      <c r="H457" s="4" t="s">
        <v>35</v>
      </c>
      <c r="I457" s="4" t="s">
        <v>14</v>
      </c>
      <c r="J457" s="4">
        <v>2</v>
      </c>
      <c r="K457" s="5">
        <v>13</v>
      </c>
      <c r="L457" s="4" t="s">
        <v>41</v>
      </c>
      <c r="M457" s="4" t="s">
        <v>16</v>
      </c>
      <c r="N457" s="5">
        <v>26</v>
      </c>
    </row>
    <row r="458" spans="1:14">
      <c r="A458" s="4" t="s">
        <v>874</v>
      </c>
      <c r="B458" s="4" t="s">
        <v>853</v>
      </c>
      <c r="C458" s="4">
        <f t="shared" si="28"/>
        <v>2026</v>
      </c>
      <c r="D458" s="4" t="str">
        <f t="shared" si="29"/>
        <v>September</v>
      </c>
      <c r="E458" s="4" t="str">
        <f t="shared" si="30"/>
        <v>Sunday</v>
      </c>
      <c r="F458" s="4" t="s">
        <v>875</v>
      </c>
      <c r="G458" s="4">
        <f t="shared" si="31"/>
        <v>18</v>
      </c>
      <c r="H458" s="4" t="s">
        <v>21</v>
      </c>
      <c r="I458" s="4" t="s">
        <v>14</v>
      </c>
      <c r="J458" s="4">
        <v>1</v>
      </c>
      <c r="K458" s="5">
        <v>12</v>
      </c>
      <c r="L458" s="4" t="s">
        <v>26</v>
      </c>
      <c r="M458" s="4" t="s">
        <v>44</v>
      </c>
      <c r="N458" s="5">
        <v>12</v>
      </c>
    </row>
    <row r="459" spans="1:14">
      <c r="A459" s="4" t="s">
        <v>876</v>
      </c>
      <c r="B459" s="4" t="s">
        <v>853</v>
      </c>
      <c r="C459" s="4">
        <f t="shared" si="28"/>
        <v>2026</v>
      </c>
      <c r="D459" s="4" t="str">
        <f t="shared" si="29"/>
        <v>September</v>
      </c>
      <c r="E459" s="4" t="str">
        <f t="shared" si="30"/>
        <v>Sunday</v>
      </c>
      <c r="F459" s="4" t="s">
        <v>749</v>
      </c>
      <c r="G459" s="4">
        <f t="shared" si="31"/>
        <v>18</v>
      </c>
      <c r="H459" s="4" t="s">
        <v>51</v>
      </c>
      <c r="I459" s="4" t="s">
        <v>14</v>
      </c>
      <c r="J459" s="4">
        <v>1</v>
      </c>
      <c r="K459" s="5">
        <v>7</v>
      </c>
      <c r="L459" s="4" t="s">
        <v>41</v>
      </c>
      <c r="M459" s="4" t="s">
        <v>44</v>
      </c>
      <c r="N459" s="5">
        <v>7</v>
      </c>
    </row>
    <row r="460" spans="1:14">
      <c r="A460" s="4" t="s">
        <v>877</v>
      </c>
      <c r="B460" s="4" t="s">
        <v>853</v>
      </c>
      <c r="C460" s="4">
        <f t="shared" si="28"/>
        <v>2026</v>
      </c>
      <c r="D460" s="4" t="str">
        <f t="shared" si="29"/>
        <v>September</v>
      </c>
      <c r="E460" s="4" t="str">
        <f t="shared" si="30"/>
        <v>Sunday</v>
      </c>
      <c r="F460" s="4" t="s">
        <v>603</v>
      </c>
      <c r="G460" s="4">
        <f t="shared" si="31"/>
        <v>19</v>
      </c>
      <c r="H460" s="4" t="s">
        <v>38</v>
      </c>
      <c r="I460" s="4" t="s">
        <v>14</v>
      </c>
      <c r="J460" s="4">
        <v>1</v>
      </c>
      <c r="K460" s="5">
        <v>9</v>
      </c>
      <c r="L460" s="4" t="s">
        <v>26</v>
      </c>
      <c r="M460" s="4" t="s">
        <v>44</v>
      </c>
      <c r="N460" s="5">
        <v>9</v>
      </c>
    </row>
    <row r="461" spans="1:14">
      <c r="A461" s="4" t="s">
        <v>878</v>
      </c>
      <c r="B461" s="4" t="s">
        <v>853</v>
      </c>
      <c r="C461" s="4">
        <f t="shared" si="28"/>
        <v>2026</v>
      </c>
      <c r="D461" s="4" t="str">
        <f t="shared" si="29"/>
        <v>September</v>
      </c>
      <c r="E461" s="4" t="str">
        <f t="shared" si="30"/>
        <v>Sunday</v>
      </c>
      <c r="F461" s="4" t="s">
        <v>634</v>
      </c>
      <c r="G461" s="4">
        <f t="shared" si="31"/>
        <v>19</v>
      </c>
      <c r="H461" s="4" t="s">
        <v>72</v>
      </c>
      <c r="I461" s="4" t="s">
        <v>14</v>
      </c>
      <c r="J461" s="4">
        <v>1</v>
      </c>
      <c r="K461" s="5">
        <v>14</v>
      </c>
      <c r="L461" s="4" t="s">
        <v>41</v>
      </c>
      <c r="M461" s="4" t="s">
        <v>16</v>
      </c>
      <c r="N461" s="5">
        <v>14</v>
      </c>
    </row>
    <row r="462" spans="1:14">
      <c r="A462" s="4" t="s">
        <v>879</v>
      </c>
      <c r="B462" s="4" t="s">
        <v>853</v>
      </c>
      <c r="C462" s="4">
        <f t="shared" si="28"/>
        <v>2026</v>
      </c>
      <c r="D462" s="4" t="str">
        <f t="shared" si="29"/>
        <v>September</v>
      </c>
      <c r="E462" s="4" t="str">
        <f t="shared" si="30"/>
        <v>Sunday</v>
      </c>
      <c r="F462" s="4" t="s">
        <v>502</v>
      </c>
      <c r="G462" s="4">
        <f t="shared" si="31"/>
        <v>19</v>
      </c>
      <c r="H462" s="4" t="s">
        <v>115</v>
      </c>
      <c r="I462" s="4" t="s">
        <v>63</v>
      </c>
      <c r="J462" s="4">
        <v>1</v>
      </c>
      <c r="K462" s="5">
        <v>16</v>
      </c>
      <c r="L462" s="4" t="s">
        <v>26</v>
      </c>
      <c r="M462" s="4" t="s">
        <v>16</v>
      </c>
      <c r="N462" s="5">
        <v>16</v>
      </c>
    </row>
    <row r="463" spans="1:14">
      <c r="A463" s="4" t="s">
        <v>880</v>
      </c>
      <c r="B463" s="4" t="s">
        <v>881</v>
      </c>
      <c r="C463" s="4">
        <f t="shared" si="28"/>
        <v>2026</v>
      </c>
      <c r="D463" s="4" t="str">
        <f t="shared" si="29"/>
        <v>September</v>
      </c>
      <c r="E463" s="4" t="str">
        <f t="shared" si="30"/>
        <v>Monday</v>
      </c>
      <c r="F463" s="4" t="s">
        <v>882</v>
      </c>
      <c r="G463" s="4">
        <f t="shared" si="31"/>
        <v>10</v>
      </c>
      <c r="H463" s="4" t="s">
        <v>29</v>
      </c>
      <c r="I463" s="4" t="s">
        <v>30</v>
      </c>
      <c r="J463" s="4">
        <v>2</v>
      </c>
      <c r="K463" s="5">
        <v>9</v>
      </c>
      <c r="L463" s="4" t="s">
        <v>26</v>
      </c>
      <c r="M463" s="4" t="s">
        <v>44</v>
      </c>
      <c r="N463" s="5">
        <v>18</v>
      </c>
    </row>
    <row r="464" spans="1:14">
      <c r="A464" s="4" t="s">
        <v>883</v>
      </c>
      <c r="B464" s="4" t="s">
        <v>881</v>
      </c>
      <c r="C464" s="4">
        <f t="shared" si="28"/>
        <v>2026</v>
      </c>
      <c r="D464" s="4" t="str">
        <f t="shared" si="29"/>
        <v>September</v>
      </c>
      <c r="E464" s="4" t="str">
        <f t="shared" si="30"/>
        <v>Monday</v>
      </c>
      <c r="F464" s="4" t="s">
        <v>884</v>
      </c>
      <c r="G464" s="4">
        <f t="shared" si="31"/>
        <v>10</v>
      </c>
      <c r="H464" s="4" t="s">
        <v>115</v>
      </c>
      <c r="I464" s="4" t="s">
        <v>63</v>
      </c>
      <c r="J464" s="4">
        <v>4</v>
      </c>
      <c r="K464" s="5">
        <v>16</v>
      </c>
      <c r="L464" s="4" t="s">
        <v>26</v>
      </c>
      <c r="M464" s="4" t="s">
        <v>16</v>
      </c>
      <c r="N464" s="5">
        <v>64</v>
      </c>
    </row>
    <row r="465" spans="1:14">
      <c r="A465" s="4" t="s">
        <v>885</v>
      </c>
      <c r="B465" s="4" t="s">
        <v>881</v>
      </c>
      <c r="C465" s="4">
        <f t="shared" si="28"/>
        <v>2026</v>
      </c>
      <c r="D465" s="4" t="str">
        <f t="shared" si="29"/>
        <v>September</v>
      </c>
      <c r="E465" s="4" t="str">
        <f t="shared" si="30"/>
        <v>Monday</v>
      </c>
      <c r="F465" s="4" t="s">
        <v>476</v>
      </c>
      <c r="G465" s="4">
        <f t="shared" si="31"/>
        <v>10</v>
      </c>
      <c r="H465" s="4" t="s">
        <v>62</v>
      </c>
      <c r="I465" s="4" t="s">
        <v>63</v>
      </c>
      <c r="J465" s="4">
        <v>1</v>
      </c>
      <c r="K465" s="5">
        <v>10</v>
      </c>
      <c r="L465" s="4" t="s">
        <v>26</v>
      </c>
      <c r="M465" s="4" t="s">
        <v>44</v>
      </c>
      <c r="N465" s="5">
        <v>10</v>
      </c>
    </row>
    <row r="466" spans="1:14">
      <c r="A466" s="4" t="s">
        <v>886</v>
      </c>
      <c r="B466" s="4" t="s">
        <v>881</v>
      </c>
      <c r="C466" s="4">
        <f t="shared" si="28"/>
        <v>2026</v>
      </c>
      <c r="D466" s="4" t="str">
        <f t="shared" si="29"/>
        <v>September</v>
      </c>
      <c r="E466" s="4" t="str">
        <f t="shared" si="30"/>
        <v>Monday</v>
      </c>
      <c r="F466" s="4" t="s">
        <v>887</v>
      </c>
      <c r="G466" s="4">
        <f t="shared" si="31"/>
        <v>11</v>
      </c>
      <c r="H466" s="4" t="s">
        <v>21</v>
      </c>
      <c r="I466" s="4" t="s">
        <v>14</v>
      </c>
      <c r="J466" s="4">
        <v>1</v>
      </c>
      <c r="K466" s="5">
        <v>12</v>
      </c>
      <c r="L466" s="4" t="s">
        <v>41</v>
      </c>
      <c r="M466" s="4" t="s">
        <v>44</v>
      </c>
      <c r="N466" s="5">
        <v>12</v>
      </c>
    </row>
    <row r="467" spans="1:14">
      <c r="A467" s="4" t="s">
        <v>888</v>
      </c>
      <c r="B467" s="4" t="s">
        <v>881</v>
      </c>
      <c r="C467" s="4">
        <f t="shared" si="28"/>
        <v>2026</v>
      </c>
      <c r="D467" s="4" t="str">
        <f t="shared" si="29"/>
        <v>September</v>
      </c>
      <c r="E467" s="4" t="str">
        <f t="shared" si="30"/>
        <v>Monday</v>
      </c>
      <c r="F467" s="4" t="s">
        <v>512</v>
      </c>
      <c r="G467" s="4">
        <f t="shared" si="31"/>
        <v>11</v>
      </c>
      <c r="H467" s="4" t="s">
        <v>38</v>
      </c>
      <c r="I467" s="4" t="s">
        <v>14</v>
      </c>
      <c r="J467" s="4">
        <v>1</v>
      </c>
      <c r="K467" s="5">
        <v>9</v>
      </c>
      <c r="L467" s="4" t="s">
        <v>15</v>
      </c>
      <c r="M467" s="4" t="s">
        <v>44</v>
      </c>
      <c r="N467" s="5">
        <v>9</v>
      </c>
    </row>
    <row r="468" spans="1:14">
      <c r="A468" s="4" t="s">
        <v>889</v>
      </c>
      <c r="B468" s="4" t="s">
        <v>881</v>
      </c>
      <c r="C468" s="4">
        <f t="shared" si="28"/>
        <v>2026</v>
      </c>
      <c r="D468" s="4" t="str">
        <f t="shared" si="29"/>
        <v>September</v>
      </c>
      <c r="E468" s="4" t="str">
        <f t="shared" si="30"/>
        <v>Monday</v>
      </c>
      <c r="F468" s="4" t="s">
        <v>203</v>
      </c>
      <c r="G468" s="4">
        <f t="shared" si="31"/>
        <v>13</v>
      </c>
      <c r="H468" s="4" t="s">
        <v>51</v>
      </c>
      <c r="I468" s="4" t="s">
        <v>14</v>
      </c>
      <c r="J468" s="4">
        <v>1</v>
      </c>
      <c r="K468" s="5">
        <v>7</v>
      </c>
      <c r="L468" s="4" t="s">
        <v>26</v>
      </c>
      <c r="M468" s="4" t="s">
        <v>16</v>
      </c>
      <c r="N468" s="5">
        <v>7</v>
      </c>
    </row>
    <row r="469" spans="1:14">
      <c r="A469" s="4" t="s">
        <v>890</v>
      </c>
      <c r="B469" s="4" t="s">
        <v>881</v>
      </c>
      <c r="C469" s="4">
        <f t="shared" si="28"/>
        <v>2026</v>
      </c>
      <c r="D469" s="4" t="str">
        <f t="shared" si="29"/>
        <v>September</v>
      </c>
      <c r="E469" s="4" t="str">
        <f t="shared" si="30"/>
        <v>Monday</v>
      </c>
      <c r="F469" s="4" t="s">
        <v>98</v>
      </c>
      <c r="G469" s="4">
        <f t="shared" si="31"/>
        <v>14</v>
      </c>
      <c r="H469" s="4" t="s">
        <v>21</v>
      </c>
      <c r="I469" s="4" t="s">
        <v>14</v>
      </c>
      <c r="J469" s="4">
        <v>1</v>
      </c>
      <c r="K469" s="5">
        <v>12</v>
      </c>
      <c r="L469" s="4" t="s">
        <v>26</v>
      </c>
      <c r="M469" s="4" t="s">
        <v>16</v>
      </c>
      <c r="N469" s="5">
        <v>12</v>
      </c>
    </row>
    <row r="470" spans="1:14">
      <c r="A470" s="4" t="s">
        <v>891</v>
      </c>
      <c r="B470" s="4" t="s">
        <v>881</v>
      </c>
      <c r="C470" s="4">
        <f t="shared" si="28"/>
        <v>2026</v>
      </c>
      <c r="D470" s="4" t="str">
        <f t="shared" si="29"/>
        <v>September</v>
      </c>
      <c r="E470" s="4" t="str">
        <f t="shared" si="30"/>
        <v>Monday</v>
      </c>
      <c r="F470" s="4" t="s">
        <v>892</v>
      </c>
      <c r="G470" s="4">
        <f t="shared" si="31"/>
        <v>15</v>
      </c>
      <c r="H470" s="4" t="s">
        <v>21</v>
      </c>
      <c r="I470" s="4" t="s">
        <v>14</v>
      </c>
      <c r="J470" s="4">
        <v>1</v>
      </c>
      <c r="K470" s="5">
        <v>12</v>
      </c>
      <c r="L470" s="4" t="s">
        <v>41</v>
      </c>
      <c r="M470" s="4" t="s">
        <v>44</v>
      </c>
      <c r="N470" s="5">
        <v>12</v>
      </c>
    </row>
    <row r="471" spans="1:14">
      <c r="A471" s="4" t="s">
        <v>893</v>
      </c>
      <c r="B471" s="4" t="s">
        <v>881</v>
      </c>
      <c r="C471" s="4">
        <f t="shared" si="28"/>
        <v>2026</v>
      </c>
      <c r="D471" s="4" t="str">
        <f t="shared" si="29"/>
        <v>September</v>
      </c>
      <c r="E471" s="4" t="str">
        <f t="shared" si="30"/>
        <v>Monday</v>
      </c>
      <c r="F471" s="4" t="s">
        <v>894</v>
      </c>
      <c r="G471" s="4">
        <f t="shared" si="31"/>
        <v>17</v>
      </c>
      <c r="H471" s="4" t="s">
        <v>115</v>
      </c>
      <c r="I471" s="4" t="s">
        <v>63</v>
      </c>
      <c r="J471" s="4">
        <v>2</v>
      </c>
      <c r="K471" s="5">
        <v>16</v>
      </c>
      <c r="L471" s="4" t="s">
        <v>41</v>
      </c>
      <c r="M471" s="4" t="s">
        <v>44</v>
      </c>
      <c r="N471" s="5">
        <v>32</v>
      </c>
    </row>
    <row r="472" spans="1:14">
      <c r="A472" s="4" t="s">
        <v>895</v>
      </c>
      <c r="B472" s="4" t="s">
        <v>881</v>
      </c>
      <c r="C472" s="4">
        <f t="shared" si="28"/>
        <v>2026</v>
      </c>
      <c r="D472" s="4" t="str">
        <f t="shared" si="29"/>
        <v>September</v>
      </c>
      <c r="E472" s="4" t="str">
        <f t="shared" si="30"/>
        <v>Monday</v>
      </c>
      <c r="F472" s="4" t="s">
        <v>896</v>
      </c>
      <c r="G472" s="4">
        <f t="shared" si="31"/>
        <v>17</v>
      </c>
      <c r="H472" s="4" t="s">
        <v>35</v>
      </c>
      <c r="I472" s="4" t="s">
        <v>14</v>
      </c>
      <c r="J472" s="4">
        <v>3</v>
      </c>
      <c r="K472" s="5">
        <v>13</v>
      </c>
      <c r="L472" s="4" t="s">
        <v>41</v>
      </c>
      <c r="M472" s="4" t="s">
        <v>44</v>
      </c>
      <c r="N472" s="5">
        <v>39</v>
      </c>
    </row>
    <row r="473" spans="1:14">
      <c r="A473" s="4" t="s">
        <v>897</v>
      </c>
      <c r="B473" s="4" t="s">
        <v>881</v>
      </c>
      <c r="C473" s="4">
        <f t="shared" si="28"/>
        <v>2026</v>
      </c>
      <c r="D473" s="4" t="str">
        <f t="shared" si="29"/>
        <v>September</v>
      </c>
      <c r="E473" s="4" t="str">
        <f t="shared" si="30"/>
        <v>Monday</v>
      </c>
      <c r="F473" s="4" t="s">
        <v>898</v>
      </c>
      <c r="G473" s="4">
        <f t="shared" si="31"/>
        <v>17</v>
      </c>
      <c r="H473" s="4" t="s">
        <v>105</v>
      </c>
      <c r="I473" s="4" t="s">
        <v>25</v>
      </c>
      <c r="J473" s="4">
        <v>1</v>
      </c>
      <c r="K473" s="5">
        <v>12</v>
      </c>
      <c r="L473" s="4" t="s">
        <v>26</v>
      </c>
      <c r="M473" s="4" t="s">
        <v>16</v>
      </c>
      <c r="N473" s="5">
        <v>12</v>
      </c>
    </row>
    <row r="474" spans="1:14">
      <c r="A474" s="4" t="s">
        <v>899</v>
      </c>
      <c r="B474" s="4" t="s">
        <v>900</v>
      </c>
      <c r="C474" s="4">
        <f t="shared" si="28"/>
        <v>2026</v>
      </c>
      <c r="D474" s="4" t="str">
        <f t="shared" si="29"/>
        <v>September</v>
      </c>
      <c r="E474" s="4" t="str">
        <f t="shared" si="30"/>
        <v>Tuesday</v>
      </c>
      <c r="F474" s="4" t="s">
        <v>901</v>
      </c>
      <c r="G474" s="4">
        <f t="shared" si="31"/>
        <v>9</v>
      </c>
      <c r="H474" s="4" t="s">
        <v>38</v>
      </c>
      <c r="I474" s="4" t="s">
        <v>14</v>
      </c>
      <c r="J474" s="4">
        <v>1</v>
      </c>
      <c r="K474" s="5">
        <v>9</v>
      </c>
      <c r="L474" s="4" t="s">
        <v>26</v>
      </c>
      <c r="M474" s="4" t="s">
        <v>44</v>
      </c>
      <c r="N474" s="5">
        <v>9</v>
      </c>
    </row>
    <row r="475" spans="1:14">
      <c r="A475" s="4" t="s">
        <v>902</v>
      </c>
      <c r="B475" s="4" t="s">
        <v>900</v>
      </c>
      <c r="C475" s="4">
        <f t="shared" si="28"/>
        <v>2026</v>
      </c>
      <c r="D475" s="4" t="str">
        <f t="shared" si="29"/>
        <v>September</v>
      </c>
      <c r="E475" s="4" t="str">
        <f t="shared" si="30"/>
        <v>Tuesday</v>
      </c>
      <c r="F475" s="4" t="s">
        <v>639</v>
      </c>
      <c r="G475" s="4">
        <f t="shared" si="31"/>
        <v>10</v>
      </c>
      <c r="H475" s="4" t="s">
        <v>62</v>
      </c>
      <c r="I475" s="4" t="s">
        <v>63</v>
      </c>
      <c r="J475" s="4">
        <v>2</v>
      </c>
      <c r="K475" s="5">
        <v>10</v>
      </c>
      <c r="L475" s="4" t="s">
        <v>26</v>
      </c>
      <c r="M475" s="4" t="s">
        <v>16</v>
      </c>
      <c r="N475" s="5">
        <v>20</v>
      </c>
    </row>
    <row r="476" spans="1:14">
      <c r="A476" s="4" t="s">
        <v>903</v>
      </c>
      <c r="B476" s="4" t="s">
        <v>900</v>
      </c>
      <c r="C476" s="4">
        <f t="shared" si="28"/>
        <v>2026</v>
      </c>
      <c r="D476" s="4" t="str">
        <f t="shared" si="29"/>
        <v>September</v>
      </c>
      <c r="E476" s="4" t="str">
        <f t="shared" si="30"/>
        <v>Tuesday</v>
      </c>
      <c r="F476" s="4" t="s">
        <v>904</v>
      </c>
      <c r="G476" s="4">
        <f t="shared" si="31"/>
        <v>11</v>
      </c>
      <c r="H476" s="4" t="s">
        <v>35</v>
      </c>
      <c r="I476" s="4" t="s">
        <v>14</v>
      </c>
      <c r="J476" s="4">
        <v>2</v>
      </c>
      <c r="K476" s="5">
        <v>13</v>
      </c>
      <c r="L476" s="4" t="s">
        <v>15</v>
      </c>
      <c r="M476" s="4" t="s">
        <v>16</v>
      </c>
      <c r="N476" s="5">
        <v>26</v>
      </c>
    </row>
    <row r="477" spans="1:14">
      <c r="A477" s="4" t="s">
        <v>905</v>
      </c>
      <c r="B477" s="4" t="s">
        <v>900</v>
      </c>
      <c r="C477" s="4">
        <f t="shared" si="28"/>
        <v>2026</v>
      </c>
      <c r="D477" s="4" t="str">
        <f t="shared" si="29"/>
        <v>September</v>
      </c>
      <c r="E477" s="4" t="str">
        <f t="shared" si="30"/>
        <v>Tuesday</v>
      </c>
      <c r="F477" s="4" t="s">
        <v>906</v>
      </c>
      <c r="G477" s="4">
        <f t="shared" si="31"/>
        <v>14</v>
      </c>
      <c r="H477" s="4" t="s">
        <v>105</v>
      </c>
      <c r="I477" s="4" t="s">
        <v>25</v>
      </c>
      <c r="J477" s="4">
        <v>1</v>
      </c>
      <c r="K477" s="5">
        <v>12</v>
      </c>
      <c r="L477" s="4" t="s">
        <v>41</v>
      </c>
      <c r="M477" s="4" t="s">
        <v>16</v>
      </c>
      <c r="N477" s="5">
        <v>12</v>
      </c>
    </row>
    <row r="478" spans="1:14">
      <c r="A478" s="4" t="s">
        <v>907</v>
      </c>
      <c r="B478" s="4" t="s">
        <v>900</v>
      </c>
      <c r="C478" s="4">
        <f t="shared" si="28"/>
        <v>2026</v>
      </c>
      <c r="D478" s="4" t="str">
        <f t="shared" si="29"/>
        <v>September</v>
      </c>
      <c r="E478" s="4" t="str">
        <f t="shared" si="30"/>
        <v>Tuesday</v>
      </c>
      <c r="F478" s="4" t="s">
        <v>362</v>
      </c>
      <c r="G478" s="4">
        <f t="shared" si="31"/>
        <v>15</v>
      </c>
      <c r="H478" s="4" t="s">
        <v>62</v>
      </c>
      <c r="I478" s="4" t="s">
        <v>63</v>
      </c>
      <c r="J478" s="4">
        <v>1</v>
      </c>
      <c r="K478" s="5">
        <v>10</v>
      </c>
      <c r="L478" s="4" t="s">
        <v>26</v>
      </c>
      <c r="M478" s="4" t="s">
        <v>16</v>
      </c>
      <c r="N478" s="5">
        <v>10</v>
      </c>
    </row>
    <row r="479" spans="1:14">
      <c r="A479" s="4" t="s">
        <v>908</v>
      </c>
      <c r="B479" s="4" t="s">
        <v>900</v>
      </c>
      <c r="C479" s="4">
        <f t="shared" si="28"/>
        <v>2026</v>
      </c>
      <c r="D479" s="4" t="str">
        <f t="shared" si="29"/>
        <v>September</v>
      </c>
      <c r="E479" s="4" t="str">
        <f t="shared" si="30"/>
        <v>Tuesday</v>
      </c>
      <c r="F479" s="4" t="s">
        <v>909</v>
      </c>
      <c r="G479" s="4">
        <f t="shared" si="31"/>
        <v>16</v>
      </c>
      <c r="H479" s="4" t="s">
        <v>21</v>
      </c>
      <c r="I479" s="4" t="s">
        <v>14</v>
      </c>
      <c r="J479" s="4">
        <v>3</v>
      </c>
      <c r="K479" s="5">
        <v>12</v>
      </c>
      <c r="L479" s="4" t="s">
        <v>41</v>
      </c>
      <c r="M479" s="4" t="s">
        <v>16</v>
      </c>
      <c r="N479" s="5">
        <v>36</v>
      </c>
    </row>
    <row r="480" spans="1:14">
      <c r="A480" s="4" t="s">
        <v>910</v>
      </c>
      <c r="B480" s="4" t="s">
        <v>900</v>
      </c>
      <c r="C480" s="4">
        <f t="shared" si="28"/>
        <v>2026</v>
      </c>
      <c r="D480" s="4" t="str">
        <f t="shared" si="29"/>
        <v>September</v>
      </c>
      <c r="E480" s="4" t="str">
        <f t="shared" si="30"/>
        <v>Tuesday</v>
      </c>
      <c r="F480" s="4" t="s">
        <v>911</v>
      </c>
      <c r="G480" s="4">
        <f t="shared" si="31"/>
        <v>16</v>
      </c>
      <c r="H480" s="4" t="s">
        <v>21</v>
      </c>
      <c r="I480" s="4" t="s">
        <v>14</v>
      </c>
      <c r="J480" s="4">
        <v>2</v>
      </c>
      <c r="K480" s="5">
        <v>12</v>
      </c>
      <c r="L480" s="4" t="s">
        <v>15</v>
      </c>
      <c r="M480" s="4" t="s">
        <v>44</v>
      </c>
      <c r="N480" s="5">
        <v>24</v>
      </c>
    </row>
    <row r="481" spans="1:14">
      <c r="A481" s="4" t="s">
        <v>912</v>
      </c>
      <c r="B481" s="4" t="s">
        <v>900</v>
      </c>
      <c r="C481" s="4">
        <f t="shared" si="28"/>
        <v>2026</v>
      </c>
      <c r="D481" s="4" t="str">
        <f t="shared" si="29"/>
        <v>September</v>
      </c>
      <c r="E481" s="4" t="str">
        <f t="shared" si="30"/>
        <v>Tuesday</v>
      </c>
      <c r="F481" s="4" t="s">
        <v>342</v>
      </c>
      <c r="G481" s="4">
        <f t="shared" si="31"/>
        <v>17</v>
      </c>
      <c r="H481" s="4" t="s">
        <v>72</v>
      </c>
      <c r="I481" s="4" t="s">
        <v>14</v>
      </c>
      <c r="J481" s="4">
        <v>2</v>
      </c>
      <c r="K481" s="5">
        <v>14</v>
      </c>
      <c r="L481" s="4" t="s">
        <v>26</v>
      </c>
      <c r="M481" s="4" t="s">
        <v>44</v>
      </c>
      <c r="N481" s="5">
        <v>28</v>
      </c>
    </row>
    <row r="482" spans="1:14">
      <c r="A482" s="4" t="s">
        <v>913</v>
      </c>
      <c r="B482" s="4" t="s">
        <v>900</v>
      </c>
      <c r="C482" s="4">
        <f t="shared" si="28"/>
        <v>2026</v>
      </c>
      <c r="D482" s="4" t="str">
        <f t="shared" si="29"/>
        <v>September</v>
      </c>
      <c r="E482" s="4" t="str">
        <f t="shared" si="30"/>
        <v>Tuesday</v>
      </c>
      <c r="F482" s="4" t="s">
        <v>914</v>
      </c>
      <c r="G482" s="4">
        <f t="shared" si="31"/>
        <v>17</v>
      </c>
      <c r="H482" s="4" t="s">
        <v>24</v>
      </c>
      <c r="I482" s="4" t="s">
        <v>25</v>
      </c>
      <c r="J482" s="4">
        <v>2</v>
      </c>
      <c r="K482" s="5">
        <v>14</v>
      </c>
      <c r="L482" s="4" t="s">
        <v>15</v>
      </c>
      <c r="M482" s="4" t="s">
        <v>16</v>
      </c>
      <c r="N482" s="5">
        <v>28</v>
      </c>
    </row>
    <row r="483" spans="1:14">
      <c r="A483" s="4" t="s">
        <v>915</v>
      </c>
      <c r="B483" s="4" t="s">
        <v>900</v>
      </c>
      <c r="C483" s="4">
        <f t="shared" si="28"/>
        <v>2026</v>
      </c>
      <c r="D483" s="4" t="str">
        <f t="shared" si="29"/>
        <v>September</v>
      </c>
      <c r="E483" s="4" t="str">
        <f t="shared" si="30"/>
        <v>Tuesday</v>
      </c>
      <c r="F483" s="4" t="s">
        <v>914</v>
      </c>
      <c r="G483" s="4">
        <f t="shared" si="31"/>
        <v>17</v>
      </c>
      <c r="H483" s="4" t="s">
        <v>35</v>
      </c>
      <c r="I483" s="4" t="s">
        <v>14</v>
      </c>
      <c r="J483" s="4">
        <v>1</v>
      </c>
      <c r="K483" s="5">
        <v>13</v>
      </c>
      <c r="L483" s="4" t="s">
        <v>26</v>
      </c>
      <c r="M483" s="4" t="s">
        <v>16</v>
      </c>
      <c r="N483" s="5">
        <v>13</v>
      </c>
    </row>
    <row r="484" spans="1:14">
      <c r="A484" s="4" t="s">
        <v>916</v>
      </c>
      <c r="B484" s="4" t="s">
        <v>900</v>
      </c>
      <c r="C484" s="4">
        <f t="shared" si="28"/>
        <v>2026</v>
      </c>
      <c r="D484" s="4" t="str">
        <f t="shared" si="29"/>
        <v>September</v>
      </c>
      <c r="E484" s="4" t="str">
        <f t="shared" si="30"/>
        <v>Tuesday</v>
      </c>
      <c r="F484" s="4" t="s">
        <v>917</v>
      </c>
      <c r="G484" s="4">
        <f t="shared" si="31"/>
        <v>18</v>
      </c>
      <c r="H484" s="4" t="s">
        <v>35</v>
      </c>
      <c r="I484" s="4" t="s">
        <v>14</v>
      </c>
      <c r="J484" s="4">
        <v>1</v>
      </c>
      <c r="K484" s="5">
        <v>13</v>
      </c>
      <c r="L484" s="4" t="s">
        <v>26</v>
      </c>
      <c r="M484" s="4" t="s">
        <v>16</v>
      </c>
      <c r="N484" s="5">
        <v>13</v>
      </c>
    </row>
    <row r="485" spans="1:14">
      <c r="A485" s="4" t="s">
        <v>918</v>
      </c>
      <c r="B485" s="4" t="s">
        <v>919</v>
      </c>
      <c r="C485" s="4">
        <f t="shared" si="28"/>
        <v>2026</v>
      </c>
      <c r="D485" s="4" t="str">
        <f t="shared" si="29"/>
        <v>September</v>
      </c>
      <c r="E485" s="4" t="str">
        <f t="shared" si="30"/>
        <v>Wednesday</v>
      </c>
      <c r="F485" s="4" t="s">
        <v>758</v>
      </c>
      <c r="G485" s="4">
        <f t="shared" si="31"/>
        <v>10</v>
      </c>
      <c r="H485" s="4" t="s">
        <v>24</v>
      </c>
      <c r="I485" s="4" t="s">
        <v>25</v>
      </c>
      <c r="J485" s="4">
        <v>1</v>
      </c>
      <c r="K485" s="5">
        <v>14</v>
      </c>
      <c r="L485" s="4" t="s">
        <v>15</v>
      </c>
      <c r="M485" s="4" t="s">
        <v>44</v>
      </c>
      <c r="N485" s="5">
        <v>14</v>
      </c>
    </row>
    <row r="486" spans="1:14">
      <c r="A486" s="4" t="s">
        <v>920</v>
      </c>
      <c r="B486" s="4" t="s">
        <v>919</v>
      </c>
      <c r="C486" s="4">
        <f t="shared" si="28"/>
        <v>2026</v>
      </c>
      <c r="D486" s="4" t="str">
        <f t="shared" si="29"/>
        <v>September</v>
      </c>
      <c r="E486" s="4" t="str">
        <f t="shared" si="30"/>
        <v>Wednesday</v>
      </c>
      <c r="F486" s="4" t="s">
        <v>476</v>
      </c>
      <c r="G486" s="4">
        <f t="shared" si="31"/>
        <v>10</v>
      </c>
      <c r="H486" s="4" t="s">
        <v>35</v>
      </c>
      <c r="I486" s="4" t="s">
        <v>14</v>
      </c>
      <c r="J486" s="4">
        <v>1</v>
      </c>
      <c r="K486" s="5">
        <v>13</v>
      </c>
      <c r="L486" s="4" t="s">
        <v>41</v>
      </c>
      <c r="M486" s="4" t="s">
        <v>44</v>
      </c>
      <c r="N486" s="5">
        <v>13</v>
      </c>
    </row>
    <row r="487" spans="1:14">
      <c r="A487" s="4" t="s">
        <v>921</v>
      </c>
      <c r="B487" s="4" t="s">
        <v>919</v>
      </c>
      <c r="C487" s="4">
        <f t="shared" si="28"/>
        <v>2026</v>
      </c>
      <c r="D487" s="4" t="str">
        <f t="shared" si="29"/>
        <v>September</v>
      </c>
      <c r="E487" s="4" t="str">
        <f t="shared" si="30"/>
        <v>Wednesday</v>
      </c>
      <c r="F487" s="4" t="s">
        <v>922</v>
      </c>
      <c r="G487" s="4">
        <f t="shared" si="31"/>
        <v>11</v>
      </c>
      <c r="H487" s="4" t="s">
        <v>72</v>
      </c>
      <c r="I487" s="4" t="s">
        <v>14</v>
      </c>
      <c r="J487" s="4">
        <v>1</v>
      </c>
      <c r="K487" s="5">
        <v>13</v>
      </c>
      <c r="L487" s="4" t="s">
        <v>15</v>
      </c>
      <c r="M487" s="4" t="s">
        <v>16</v>
      </c>
      <c r="N487" s="5">
        <v>13</v>
      </c>
    </row>
    <row r="488" spans="1:14">
      <c r="A488" s="4" t="s">
        <v>923</v>
      </c>
      <c r="B488" s="4" t="s">
        <v>919</v>
      </c>
      <c r="C488" s="4">
        <f t="shared" si="28"/>
        <v>2026</v>
      </c>
      <c r="D488" s="4" t="str">
        <f t="shared" si="29"/>
        <v>September</v>
      </c>
      <c r="E488" s="4" t="str">
        <f t="shared" si="30"/>
        <v>Wednesday</v>
      </c>
      <c r="F488" s="4" t="s">
        <v>319</v>
      </c>
      <c r="G488" s="4">
        <f t="shared" si="31"/>
        <v>11</v>
      </c>
      <c r="H488" s="4" t="s">
        <v>13</v>
      </c>
      <c r="I488" s="4" t="s">
        <v>14</v>
      </c>
      <c r="J488" s="4">
        <v>2</v>
      </c>
      <c r="K488" s="5">
        <v>15</v>
      </c>
      <c r="L488" s="4" t="s">
        <v>26</v>
      </c>
      <c r="M488" s="4" t="s">
        <v>16</v>
      </c>
      <c r="N488" s="5">
        <v>30</v>
      </c>
    </row>
    <row r="489" spans="1:14">
      <c r="A489" s="4" t="s">
        <v>924</v>
      </c>
      <c r="B489" s="4" t="s">
        <v>919</v>
      </c>
      <c r="C489" s="4">
        <f t="shared" si="28"/>
        <v>2026</v>
      </c>
      <c r="D489" s="4" t="str">
        <f t="shared" si="29"/>
        <v>September</v>
      </c>
      <c r="E489" s="4" t="str">
        <f t="shared" si="30"/>
        <v>Wednesday</v>
      </c>
      <c r="F489" s="4" t="s">
        <v>925</v>
      </c>
      <c r="G489" s="4">
        <f t="shared" si="31"/>
        <v>12</v>
      </c>
      <c r="H489" s="4" t="s">
        <v>13</v>
      </c>
      <c r="I489" s="4" t="s">
        <v>14</v>
      </c>
      <c r="J489" s="4">
        <v>2</v>
      </c>
      <c r="K489" s="5">
        <v>15</v>
      </c>
      <c r="L489" s="4" t="s">
        <v>26</v>
      </c>
      <c r="M489" s="4" t="s">
        <v>44</v>
      </c>
      <c r="N489" s="5">
        <v>30</v>
      </c>
    </row>
    <row r="490" spans="1:14">
      <c r="A490" s="4" t="s">
        <v>926</v>
      </c>
      <c r="B490" s="4" t="s">
        <v>919</v>
      </c>
      <c r="C490" s="4">
        <f t="shared" si="28"/>
        <v>2026</v>
      </c>
      <c r="D490" s="4" t="str">
        <f t="shared" si="29"/>
        <v>September</v>
      </c>
      <c r="E490" s="4" t="str">
        <f t="shared" si="30"/>
        <v>Wednesday</v>
      </c>
      <c r="F490" s="4" t="s">
        <v>303</v>
      </c>
      <c r="G490" s="4">
        <f t="shared" si="31"/>
        <v>13</v>
      </c>
      <c r="H490" s="4" t="s">
        <v>35</v>
      </c>
      <c r="I490" s="4" t="s">
        <v>14</v>
      </c>
      <c r="J490" s="4">
        <v>1</v>
      </c>
      <c r="K490" s="5">
        <v>13</v>
      </c>
      <c r="L490" s="4" t="s">
        <v>26</v>
      </c>
      <c r="M490" s="4" t="s">
        <v>16</v>
      </c>
      <c r="N490" s="5">
        <v>13</v>
      </c>
    </row>
    <row r="491" spans="1:14">
      <c r="A491" s="4" t="s">
        <v>927</v>
      </c>
      <c r="B491" s="4" t="s">
        <v>919</v>
      </c>
      <c r="C491" s="4">
        <f t="shared" si="28"/>
        <v>2026</v>
      </c>
      <c r="D491" s="4" t="str">
        <f t="shared" si="29"/>
        <v>September</v>
      </c>
      <c r="E491" s="4" t="str">
        <f t="shared" si="30"/>
        <v>Wednesday</v>
      </c>
      <c r="F491" s="4" t="s">
        <v>520</v>
      </c>
      <c r="G491" s="4">
        <f t="shared" si="31"/>
        <v>14</v>
      </c>
      <c r="H491" s="4" t="s">
        <v>38</v>
      </c>
      <c r="I491" s="4" t="s">
        <v>14</v>
      </c>
      <c r="J491" s="4">
        <v>1</v>
      </c>
      <c r="K491" s="5">
        <v>9</v>
      </c>
      <c r="L491" s="4" t="s">
        <v>41</v>
      </c>
      <c r="M491" s="4" t="s">
        <v>16</v>
      </c>
      <c r="N491" s="5">
        <v>9</v>
      </c>
    </row>
    <row r="492" spans="1:14">
      <c r="A492" s="4" t="s">
        <v>928</v>
      </c>
      <c r="B492" s="4" t="s">
        <v>919</v>
      </c>
      <c r="C492" s="4">
        <f t="shared" si="28"/>
        <v>2026</v>
      </c>
      <c r="D492" s="4" t="str">
        <f t="shared" si="29"/>
        <v>September</v>
      </c>
      <c r="E492" s="4" t="str">
        <f t="shared" si="30"/>
        <v>Wednesday</v>
      </c>
      <c r="F492" s="4" t="s">
        <v>929</v>
      </c>
      <c r="G492" s="4">
        <f t="shared" si="31"/>
        <v>14</v>
      </c>
      <c r="H492" s="4" t="s">
        <v>35</v>
      </c>
      <c r="I492" s="4" t="s">
        <v>14</v>
      </c>
      <c r="J492" s="4">
        <v>1</v>
      </c>
      <c r="K492" s="5">
        <v>13</v>
      </c>
      <c r="L492" s="4" t="s">
        <v>26</v>
      </c>
      <c r="M492" s="4" t="s">
        <v>16</v>
      </c>
      <c r="N492" s="5">
        <v>13</v>
      </c>
    </row>
    <row r="493" spans="1:14">
      <c r="A493" s="4" t="s">
        <v>930</v>
      </c>
      <c r="B493" s="4" t="s">
        <v>919</v>
      </c>
      <c r="C493" s="4">
        <f t="shared" si="28"/>
        <v>2026</v>
      </c>
      <c r="D493" s="4" t="str">
        <f t="shared" si="29"/>
        <v>September</v>
      </c>
      <c r="E493" s="4" t="str">
        <f t="shared" si="30"/>
        <v>Wednesday</v>
      </c>
      <c r="F493" s="4" t="s">
        <v>931</v>
      </c>
      <c r="G493" s="4">
        <f t="shared" si="31"/>
        <v>15</v>
      </c>
      <c r="H493" s="4" t="s">
        <v>51</v>
      </c>
      <c r="I493" s="4" t="s">
        <v>14</v>
      </c>
      <c r="J493" s="4">
        <v>1</v>
      </c>
      <c r="K493" s="5">
        <v>7</v>
      </c>
      <c r="L493" s="4" t="s">
        <v>15</v>
      </c>
      <c r="M493" s="4" t="s">
        <v>16</v>
      </c>
      <c r="N493" s="5">
        <v>7</v>
      </c>
    </row>
    <row r="494" spans="1:14">
      <c r="A494" s="4" t="s">
        <v>932</v>
      </c>
      <c r="B494" s="4" t="s">
        <v>919</v>
      </c>
      <c r="C494" s="4">
        <f t="shared" si="28"/>
        <v>2026</v>
      </c>
      <c r="D494" s="4" t="str">
        <f t="shared" si="29"/>
        <v>September</v>
      </c>
      <c r="E494" s="4" t="str">
        <f t="shared" si="30"/>
        <v>Wednesday</v>
      </c>
      <c r="F494" s="4" t="s">
        <v>933</v>
      </c>
      <c r="G494" s="4">
        <f t="shared" si="31"/>
        <v>16</v>
      </c>
      <c r="H494" s="4" t="s">
        <v>35</v>
      </c>
      <c r="I494" s="4" t="s">
        <v>14</v>
      </c>
      <c r="J494" s="4">
        <v>2</v>
      </c>
      <c r="K494" s="5">
        <v>13</v>
      </c>
      <c r="L494" s="4" t="s">
        <v>15</v>
      </c>
      <c r="M494" s="4" t="s">
        <v>16</v>
      </c>
      <c r="N494" s="5">
        <v>26</v>
      </c>
    </row>
    <row r="495" spans="1:14">
      <c r="A495" s="4" t="s">
        <v>934</v>
      </c>
      <c r="B495" s="4" t="s">
        <v>919</v>
      </c>
      <c r="C495" s="4">
        <f t="shared" si="28"/>
        <v>2026</v>
      </c>
      <c r="D495" s="4" t="str">
        <f t="shared" si="29"/>
        <v>September</v>
      </c>
      <c r="E495" s="4" t="str">
        <f t="shared" si="30"/>
        <v>Wednesday</v>
      </c>
      <c r="F495" s="4" t="s">
        <v>935</v>
      </c>
      <c r="G495" s="4">
        <f t="shared" si="31"/>
        <v>16</v>
      </c>
      <c r="H495" s="4" t="s">
        <v>21</v>
      </c>
      <c r="I495" s="4" t="s">
        <v>14</v>
      </c>
      <c r="J495" s="4">
        <v>1</v>
      </c>
      <c r="K495" s="5">
        <v>12</v>
      </c>
      <c r="L495" s="4" t="s">
        <v>15</v>
      </c>
      <c r="M495" s="4" t="s">
        <v>16</v>
      </c>
      <c r="N495" s="5">
        <v>12</v>
      </c>
    </row>
    <row r="496" spans="1:14">
      <c r="A496" s="4" t="s">
        <v>936</v>
      </c>
      <c r="B496" s="4" t="s">
        <v>919</v>
      </c>
      <c r="C496" s="4">
        <f t="shared" si="28"/>
        <v>2026</v>
      </c>
      <c r="D496" s="4" t="str">
        <f t="shared" si="29"/>
        <v>September</v>
      </c>
      <c r="E496" s="4" t="str">
        <f t="shared" si="30"/>
        <v>Wednesday</v>
      </c>
      <c r="F496" s="4" t="s">
        <v>462</v>
      </c>
      <c r="G496" s="4">
        <f t="shared" si="31"/>
        <v>16</v>
      </c>
      <c r="H496" s="4" t="s">
        <v>54</v>
      </c>
      <c r="I496" s="4" t="s">
        <v>30</v>
      </c>
      <c r="J496" s="4">
        <v>2</v>
      </c>
      <c r="K496" s="5">
        <v>8</v>
      </c>
      <c r="L496" s="4" t="s">
        <v>26</v>
      </c>
      <c r="M496" s="4" t="s">
        <v>16</v>
      </c>
      <c r="N496" s="5">
        <v>16</v>
      </c>
    </row>
    <row r="497" spans="1:14">
      <c r="A497" s="4" t="s">
        <v>937</v>
      </c>
      <c r="B497" s="4" t="s">
        <v>919</v>
      </c>
      <c r="C497" s="4">
        <f t="shared" si="28"/>
        <v>2026</v>
      </c>
      <c r="D497" s="4" t="str">
        <f t="shared" si="29"/>
        <v>September</v>
      </c>
      <c r="E497" s="4" t="str">
        <f t="shared" si="30"/>
        <v>Wednesday</v>
      </c>
      <c r="F497" s="4" t="s">
        <v>938</v>
      </c>
      <c r="G497" s="4">
        <f t="shared" si="31"/>
        <v>17</v>
      </c>
      <c r="H497" s="4" t="s">
        <v>13</v>
      </c>
      <c r="I497" s="4" t="s">
        <v>14</v>
      </c>
      <c r="J497" s="4">
        <v>1</v>
      </c>
      <c r="K497" s="5">
        <v>15</v>
      </c>
      <c r="L497" s="4" t="s">
        <v>26</v>
      </c>
      <c r="M497" s="4" t="s">
        <v>16</v>
      </c>
      <c r="N497" s="5">
        <v>15</v>
      </c>
    </row>
    <row r="498" spans="1:14">
      <c r="A498" s="4" t="s">
        <v>939</v>
      </c>
      <c r="B498" s="4" t="s">
        <v>919</v>
      </c>
      <c r="C498" s="4">
        <f t="shared" si="28"/>
        <v>2026</v>
      </c>
      <c r="D498" s="4" t="str">
        <f t="shared" si="29"/>
        <v>September</v>
      </c>
      <c r="E498" s="4" t="str">
        <f t="shared" si="30"/>
        <v>Wednesday</v>
      </c>
      <c r="F498" s="4" t="s">
        <v>940</v>
      </c>
      <c r="G498" s="4">
        <f t="shared" si="31"/>
        <v>18</v>
      </c>
      <c r="H498" s="4" t="s">
        <v>21</v>
      </c>
      <c r="I498" s="4" t="s">
        <v>14</v>
      </c>
      <c r="J498" s="4">
        <v>3</v>
      </c>
      <c r="K498" s="5">
        <v>12</v>
      </c>
      <c r="L498" s="4" t="s">
        <v>15</v>
      </c>
      <c r="M498" s="4" t="s">
        <v>44</v>
      </c>
      <c r="N498" s="5">
        <v>36</v>
      </c>
    </row>
    <row r="499" spans="1:14">
      <c r="A499" s="4" t="s">
        <v>941</v>
      </c>
      <c r="B499" s="4" t="s">
        <v>942</v>
      </c>
      <c r="C499" s="4">
        <f t="shared" si="28"/>
        <v>2026</v>
      </c>
      <c r="D499" s="4" t="str">
        <f t="shared" si="29"/>
        <v>September</v>
      </c>
      <c r="E499" s="4" t="str">
        <f t="shared" si="30"/>
        <v>Thursday</v>
      </c>
      <c r="F499" s="4" t="s">
        <v>371</v>
      </c>
      <c r="G499" s="4">
        <f t="shared" si="31"/>
        <v>10</v>
      </c>
      <c r="H499" s="4" t="s">
        <v>54</v>
      </c>
      <c r="I499" s="4" t="s">
        <v>30</v>
      </c>
      <c r="J499" s="4">
        <v>1</v>
      </c>
      <c r="K499" s="5">
        <v>8</v>
      </c>
      <c r="L499" s="4" t="s">
        <v>15</v>
      </c>
      <c r="M499" s="4" t="s">
        <v>44</v>
      </c>
      <c r="N499" s="5">
        <v>8</v>
      </c>
    </row>
    <row r="500" spans="1:14">
      <c r="A500" s="4" t="s">
        <v>943</v>
      </c>
      <c r="B500" s="4" t="s">
        <v>942</v>
      </c>
      <c r="C500" s="4">
        <f t="shared" si="28"/>
        <v>2026</v>
      </c>
      <c r="D500" s="4" t="str">
        <f t="shared" si="29"/>
        <v>September</v>
      </c>
      <c r="E500" s="4" t="str">
        <f t="shared" si="30"/>
        <v>Thursday</v>
      </c>
      <c r="F500" s="4" t="s">
        <v>944</v>
      </c>
      <c r="G500" s="4">
        <f t="shared" si="31"/>
        <v>10</v>
      </c>
      <c r="H500" s="4" t="s">
        <v>21</v>
      </c>
      <c r="I500" s="4" t="s">
        <v>14</v>
      </c>
      <c r="J500" s="4">
        <v>1</v>
      </c>
      <c r="K500" s="5">
        <v>12</v>
      </c>
      <c r="L500" s="4" t="s">
        <v>41</v>
      </c>
      <c r="M500" s="4" t="s">
        <v>44</v>
      </c>
      <c r="N500" s="5">
        <v>12</v>
      </c>
    </row>
    <row r="501" spans="1:14">
      <c r="A501" s="4" t="s">
        <v>945</v>
      </c>
      <c r="B501" s="4" t="s">
        <v>942</v>
      </c>
      <c r="C501" s="4">
        <f t="shared" si="28"/>
        <v>2026</v>
      </c>
      <c r="D501" s="4" t="str">
        <f t="shared" si="29"/>
        <v>September</v>
      </c>
      <c r="E501" s="4" t="str">
        <f t="shared" si="30"/>
        <v>Thursday</v>
      </c>
      <c r="F501" s="4" t="s">
        <v>884</v>
      </c>
      <c r="G501" s="4">
        <f t="shared" si="31"/>
        <v>10</v>
      </c>
      <c r="H501" s="4" t="s">
        <v>51</v>
      </c>
      <c r="I501" s="4" t="s">
        <v>14</v>
      </c>
      <c r="J501" s="4">
        <v>1</v>
      </c>
      <c r="K501" s="5">
        <v>7</v>
      </c>
      <c r="L501" s="4" t="s">
        <v>41</v>
      </c>
      <c r="M501" s="4" t="s">
        <v>16</v>
      </c>
      <c r="N501" s="5">
        <v>7</v>
      </c>
    </row>
    <row r="502" spans="1:14">
      <c r="A502" s="4" t="s">
        <v>946</v>
      </c>
      <c r="B502" s="4" t="s">
        <v>942</v>
      </c>
      <c r="C502" s="4">
        <f t="shared" si="28"/>
        <v>2026</v>
      </c>
      <c r="D502" s="4" t="str">
        <f t="shared" si="29"/>
        <v>September</v>
      </c>
      <c r="E502" s="4" t="str">
        <f t="shared" si="30"/>
        <v>Thursday</v>
      </c>
      <c r="F502" s="4" t="s">
        <v>458</v>
      </c>
      <c r="G502" s="4">
        <f t="shared" si="31"/>
        <v>11</v>
      </c>
      <c r="H502" s="4" t="s">
        <v>13</v>
      </c>
      <c r="I502" s="4" t="s">
        <v>14</v>
      </c>
      <c r="J502" s="4">
        <v>3</v>
      </c>
      <c r="K502" s="5">
        <v>15</v>
      </c>
      <c r="L502" s="4" t="s">
        <v>41</v>
      </c>
      <c r="M502" s="4" t="s">
        <v>44</v>
      </c>
      <c r="N502" s="5">
        <v>45</v>
      </c>
    </row>
    <row r="503" spans="1:14">
      <c r="A503" s="4" t="s">
        <v>947</v>
      </c>
      <c r="B503" s="4" t="s">
        <v>942</v>
      </c>
      <c r="C503" s="4">
        <f t="shared" si="28"/>
        <v>2026</v>
      </c>
      <c r="D503" s="4" t="str">
        <f t="shared" si="29"/>
        <v>September</v>
      </c>
      <c r="E503" s="4" t="str">
        <f t="shared" si="30"/>
        <v>Thursday</v>
      </c>
      <c r="F503" s="4" t="s">
        <v>948</v>
      </c>
      <c r="G503" s="4">
        <f t="shared" si="31"/>
        <v>12</v>
      </c>
      <c r="H503" s="4" t="s">
        <v>21</v>
      </c>
      <c r="I503" s="4" t="s">
        <v>14</v>
      </c>
      <c r="J503" s="4">
        <v>1</v>
      </c>
      <c r="K503" s="5">
        <v>12</v>
      </c>
      <c r="L503" s="4" t="s">
        <v>41</v>
      </c>
      <c r="M503" s="4" t="s">
        <v>44</v>
      </c>
      <c r="N503" s="5">
        <v>12</v>
      </c>
    </row>
    <row r="504" spans="1:14">
      <c r="A504" s="4" t="s">
        <v>949</v>
      </c>
      <c r="B504" s="4" t="s">
        <v>942</v>
      </c>
      <c r="C504" s="4">
        <f t="shared" si="28"/>
        <v>2026</v>
      </c>
      <c r="D504" s="4" t="str">
        <f t="shared" si="29"/>
        <v>September</v>
      </c>
      <c r="E504" s="4" t="str">
        <f t="shared" si="30"/>
        <v>Thursday</v>
      </c>
      <c r="F504" s="4" t="s">
        <v>950</v>
      </c>
      <c r="G504" s="4">
        <f t="shared" si="31"/>
        <v>14</v>
      </c>
      <c r="H504" s="4" t="s">
        <v>29</v>
      </c>
      <c r="I504" s="4" t="s">
        <v>30</v>
      </c>
      <c r="J504" s="4">
        <v>1</v>
      </c>
      <c r="K504" s="5">
        <v>9</v>
      </c>
      <c r="L504" s="4" t="s">
        <v>15</v>
      </c>
      <c r="M504" s="4" t="s">
        <v>44</v>
      </c>
      <c r="N504" s="5">
        <v>9</v>
      </c>
    </row>
    <row r="505" spans="1:14">
      <c r="A505" s="4" t="s">
        <v>951</v>
      </c>
      <c r="B505" s="4" t="s">
        <v>942</v>
      </c>
      <c r="C505" s="4">
        <f t="shared" si="28"/>
        <v>2026</v>
      </c>
      <c r="D505" s="4" t="str">
        <f t="shared" si="29"/>
        <v>September</v>
      </c>
      <c r="E505" s="4" t="str">
        <f t="shared" si="30"/>
        <v>Thursday</v>
      </c>
      <c r="F505" s="4" t="s">
        <v>538</v>
      </c>
      <c r="G505" s="4">
        <f t="shared" si="31"/>
        <v>17</v>
      </c>
      <c r="H505" s="4" t="s">
        <v>38</v>
      </c>
      <c r="I505" s="4" t="s">
        <v>14</v>
      </c>
      <c r="J505" s="4">
        <v>1</v>
      </c>
      <c r="K505" s="5">
        <v>9</v>
      </c>
      <c r="L505" s="4" t="s">
        <v>41</v>
      </c>
      <c r="M505" s="4" t="s">
        <v>16</v>
      </c>
      <c r="N505" s="5">
        <v>9</v>
      </c>
    </row>
    <row r="506" spans="1:14">
      <c r="A506" s="4" t="s">
        <v>952</v>
      </c>
      <c r="B506" s="4" t="s">
        <v>953</v>
      </c>
      <c r="C506" s="4">
        <f t="shared" si="28"/>
        <v>2026</v>
      </c>
      <c r="D506" s="4" t="str">
        <f t="shared" si="29"/>
        <v>September</v>
      </c>
      <c r="E506" s="4" t="str">
        <f t="shared" si="30"/>
        <v>Friday</v>
      </c>
      <c r="F506" s="4" t="s">
        <v>371</v>
      </c>
      <c r="G506" s="4">
        <f t="shared" si="31"/>
        <v>10</v>
      </c>
      <c r="H506" s="4" t="s">
        <v>38</v>
      </c>
      <c r="I506" s="4" t="s">
        <v>14</v>
      </c>
      <c r="J506" s="4">
        <v>1</v>
      </c>
      <c r="K506" s="5">
        <v>9</v>
      </c>
      <c r="L506" s="4" t="s">
        <v>15</v>
      </c>
      <c r="M506" s="4" t="s">
        <v>44</v>
      </c>
      <c r="N506" s="5">
        <v>9</v>
      </c>
    </row>
    <row r="507" spans="1:14">
      <c r="A507" s="4" t="s">
        <v>954</v>
      </c>
      <c r="B507" s="4" t="s">
        <v>953</v>
      </c>
      <c r="C507" s="4">
        <f t="shared" si="28"/>
        <v>2026</v>
      </c>
      <c r="D507" s="4" t="str">
        <f t="shared" si="29"/>
        <v>September</v>
      </c>
      <c r="E507" s="4" t="str">
        <f t="shared" si="30"/>
        <v>Friday</v>
      </c>
      <c r="F507" s="4" t="s">
        <v>114</v>
      </c>
      <c r="G507" s="4">
        <f t="shared" si="31"/>
        <v>10</v>
      </c>
      <c r="H507" s="4" t="s">
        <v>38</v>
      </c>
      <c r="I507" s="4" t="s">
        <v>14</v>
      </c>
      <c r="J507" s="4">
        <v>1</v>
      </c>
      <c r="K507" s="5">
        <v>9</v>
      </c>
      <c r="L507" s="4" t="s">
        <v>41</v>
      </c>
      <c r="M507" s="4" t="s">
        <v>16</v>
      </c>
      <c r="N507" s="5">
        <v>9</v>
      </c>
    </row>
    <row r="508" spans="1:14">
      <c r="A508" s="4" t="s">
        <v>955</v>
      </c>
      <c r="B508" s="4" t="s">
        <v>953</v>
      </c>
      <c r="C508" s="4">
        <f t="shared" si="28"/>
        <v>2026</v>
      </c>
      <c r="D508" s="4" t="str">
        <f t="shared" si="29"/>
        <v>September</v>
      </c>
      <c r="E508" s="4" t="str">
        <f t="shared" si="30"/>
        <v>Friday</v>
      </c>
      <c r="F508" s="4" t="s">
        <v>956</v>
      </c>
      <c r="G508" s="4">
        <f t="shared" si="31"/>
        <v>10</v>
      </c>
      <c r="H508" s="4" t="s">
        <v>35</v>
      </c>
      <c r="I508" s="4" t="s">
        <v>14</v>
      </c>
      <c r="J508" s="4">
        <v>1</v>
      </c>
      <c r="K508" s="5">
        <v>13</v>
      </c>
      <c r="L508" s="4" t="s">
        <v>26</v>
      </c>
      <c r="M508" s="4" t="s">
        <v>16</v>
      </c>
      <c r="N508" s="5">
        <v>13</v>
      </c>
    </row>
    <row r="509" spans="1:14">
      <c r="A509" s="4" t="s">
        <v>957</v>
      </c>
      <c r="B509" s="4" t="s">
        <v>953</v>
      </c>
      <c r="C509" s="4">
        <f t="shared" si="28"/>
        <v>2026</v>
      </c>
      <c r="D509" s="4" t="str">
        <f t="shared" si="29"/>
        <v>September</v>
      </c>
      <c r="E509" s="4" t="str">
        <f t="shared" si="30"/>
        <v>Friday</v>
      </c>
      <c r="F509" s="4" t="s">
        <v>958</v>
      </c>
      <c r="G509" s="4">
        <f t="shared" si="31"/>
        <v>11</v>
      </c>
      <c r="H509" s="4" t="s">
        <v>38</v>
      </c>
      <c r="I509" s="4" t="s">
        <v>14</v>
      </c>
      <c r="J509" s="4">
        <v>2</v>
      </c>
      <c r="K509" s="5">
        <v>9</v>
      </c>
      <c r="L509" s="4" t="s">
        <v>41</v>
      </c>
      <c r="M509" s="4" t="s">
        <v>44</v>
      </c>
      <c r="N509" s="5">
        <v>18</v>
      </c>
    </row>
    <row r="510" spans="1:14">
      <c r="A510" s="4" t="s">
        <v>959</v>
      </c>
      <c r="B510" s="4" t="s">
        <v>953</v>
      </c>
      <c r="C510" s="4">
        <f t="shared" si="28"/>
        <v>2026</v>
      </c>
      <c r="D510" s="4" t="str">
        <f t="shared" si="29"/>
        <v>September</v>
      </c>
      <c r="E510" s="4" t="str">
        <f t="shared" si="30"/>
        <v>Friday</v>
      </c>
      <c r="F510" s="4" t="s">
        <v>960</v>
      </c>
      <c r="G510" s="4">
        <f t="shared" si="31"/>
        <v>13</v>
      </c>
      <c r="H510" s="4" t="s">
        <v>72</v>
      </c>
      <c r="I510" s="4" t="s">
        <v>14</v>
      </c>
      <c r="J510" s="4">
        <v>1</v>
      </c>
      <c r="K510" s="5">
        <v>14</v>
      </c>
      <c r="L510" s="4" t="s">
        <v>41</v>
      </c>
      <c r="M510" s="4" t="s">
        <v>44</v>
      </c>
      <c r="N510" s="5">
        <v>14</v>
      </c>
    </row>
    <row r="511" spans="1:14">
      <c r="A511" s="4" t="s">
        <v>961</v>
      </c>
      <c r="B511" s="4" t="s">
        <v>953</v>
      </c>
      <c r="C511" s="4">
        <f t="shared" si="28"/>
        <v>2026</v>
      </c>
      <c r="D511" s="4" t="str">
        <f t="shared" si="29"/>
        <v>September</v>
      </c>
      <c r="E511" s="4" t="str">
        <f t="shared" si="30"/>
        <v>Friday</v>
      </c>
      <c r="F511" s="4" t="s">
        <v>962</v>
      </c>
      <c r="G511" s="4">
        <f t="shared" si="31"/>
        <v>13</v>
      </c>
      <c r="H511" s="4" t="s">
        <v>35</v>
      </c>
      <c r="I511" s="4" t="s">
        <v>14</v>
      </c>
      <c r="J511" s="4">
        <v>1</v>
      </c>
      <c r="K511" s="5">
        <v>13</v>
      </c>
      <c r="L511" s="4" t="s">
        <v>15</v>
      </c>
      <c r="M511" s="4" t="s">
        <v>16</v>
      </c>
      <c r="N511" s="5">
        <v>13</v>
      </c>
    </row>
    <row r="512" spans="1:14">
      <c r="A512" s="4" t="s">
        <v>963</v>
      </c>
      <c r="B512" s="4" t="s">
        <v>953</v>
      </c>
      <c r="C512" s="4">
        <f t="shared" si="28"/>
        <v>2026</v>
      </c>
      <c r="D512" s="4" t="str">
        <f t="shared" si="29"/>
        <v>September</v>
      </c>
      <c r="E512" s="4" t="str">
        <f t="shared" si="30"/>
        <v>Friday</v>
      </c>
      <c r="F512" s="4" t="s">
        <v>964</v>
      </c>
      <c r="G512" s="4">
        <f t="shared" si="31"/>
        <v>13</v>
      </c>
      <c r="H512" s="4" t="s">
        <v>13</v>
      </c>
      <c r="I512" s="4" t="s">
        <v>14</v>
      </c>
      <c r="J512" s="4">
        <v>3</v>
      </c>
      <c r="K512" s="5">
        <v>15</v>
      </c>
      <c r="L512" s="4" t="s">
        <v>26</v>
      </c>
      <c r="M512" s="4" t="s">
        <v>16</v>
      </c>
      <c r="N512" s="5">
        <v>45</v>
      </c>
    </row>
    <row r="513" spans="1:14">
      <c r="A513" s="4" t="s">
        <v>965</v>
      </c>
      <c r="B513" s="4" t="s">
        <v>953</v>
      </c>
      <c r="C513" s="4">
        <f t="shared" si="28"/>
        <v>2026</v>
      </c>
      <c r="D513" s="4" t="str">
        <f t="shared" si="29"/>
        <v>September</v>
      </c>
      <c r="E513" s="4" t="str">
        <f t="shared" si="30"/>
        <v>Friday</v>
      </c>
      <c r="F513" s="4" t="s">
        <v>966</v>
      </c>
      <c r="G513" s="4">
        <f t="shared" si="31"/>
        <v>14</v>
      </c>
      <c r="H513" s="4" t="s">
        <v>38</v>
      </c>
      <c r="I513" s="4" t="s">
        <v>14</v>
      </c>
      <c r="J513" s="4">
        <v>2</v>
      </c>
      <c r="K513" s="5">
        <v>9</v>
      </c>
      <c r="L513" s="4" t="s">
        <v>15</v>
      </c>
      <c r="M513" s="4" t="s">
        <v>44</v>
      </c>
      <c r="N513" s="5">
        <v>18</v>
      </c>
    </row>
    <row r="514" spans="1:14">
      <c r="A514" s="4" t="s">
        <v>967</v>
      </c>
      <c r="B514" s="4" t="s">
        <v>953</v>
      </c>
      <c r="C514" s="4">
        <f t="shared" si="28"/>
        <v>2026</v>
      </c>
      <c r="D514" s="4" t="str">
        <f t="shared" si="29"/>
        <v>September</v>
      </c>
      <c r="E514" s="4" t="str">
        <f t="shared" si="30"/>
        <v>Friday</v>
      </c>
      <c r="F514" s="4" t="s">
        <v>968</v>
      </c>
      <c r="G514" s="4">
        <f t="shared" si="31"/>
        <v>16</v>
      </c>
      <c r="H514" s="4" t="s">
        <v>54</v>
      </c>
      <c r="I514" s="4" t="s">
        <v>30</v>
      </c>
      <c r="J514" s="4">
        <v>1</v>
      </c>
      <c r="K514" s="5">
        <v>8</v>
      </c>
      <c r="L514" s="4" t="s">
        <v>26</v>
      </c>
      <c r="M514" s="4" t="s">
        <v>44</v>
      </c>
      <c r="N514" s="5">
        <v>8</v>
      </c>
    </row>
    <row r="515" spans="1:14">
      <c r="A515" s="4" t="s">
        <v>969</v>
      </c>
      <c r="B515" s="4" t="s">
        <v>953</v>
      </c>
      <c r="C515" s="4">
        <f t="shared" ref="C515:C551" si="32">YEAR(B515)</f>
        <v>2026</v>
      </c>
      <c r="D515" s="4" t="str">
        <f t="shared" ref="D515:D551" si="33">TEXT(B515,"mmmm")</f>
        <v>September</v>
      </c>
      <c r="E515" s="4" t="str">
        <f t="shared" ref="E515:E551" si="34">TEXT(B515,"dddd")</f>
        <v>Friday</v>
      </c>
      <c r="F515" s="4" t="s">
        <v>48</v>
      </c>
      <c r="G515" s="4">
        <f t="shared" ref="G515:G551" si="35">HOUR(F515)</f>
        <v>16</v>
      </c>
      <c r="H515" s="4" t="s">
        <v>29</v>
      </c>
      <c r="I515" s="4" t="s">
        <v>30</v>
      </c>
      <c r="J515" s="4">
        <v>1</v>
      </c>
      <c r="K515" s="5">
        <v>9</v>
      </c>
      <c r="L515" s="4" t="s">
        <v>41</v>
      </c>
      <c r="M515" s="4" t="s">
        <v>44</v>
      </c>
      <c r="N515" s="5">
        <v>9</v>
      </c>
    </row>
    <row r="516" spans="1:14">
      <c r="A516" s="4" t="s">
        <v>970</v>
      </c>
      <c r="B516" s="4" t="s">
        <v>953</v>
      </c>
      <c r="C516" s="4">
        <f t="shared" si="32"/>
        <v>2026</v>
      </c>
      <c r="D516" s="4" t="str">
        <f t="shared" si="33"/>
        <v>September</v>
      </c>
      <c r="E516" s="4" t="str">
        <f t="shared" si="34"/>
        <v>Friday</v>
      </c>
      <c r="F516" s="4" t="s">
        <v>971</v>
      </c>
      <c r="G516" s="4">
        <f t="shared" si="35"/>
        <v>17</v>
      </c>
      <c r="H516" s="4" t="s">
        <v>105</v>
      </c>
      <c r="I516" s="4" t="s">
        <v>25</v>
      </c>
      <c r="J516" s="4">
        <v>1</v>
      </c>
      <c r="K516" s="5">
        <v>12</v>
      </c>
      <c r="L516" s="4" t="s">
        <v>41</v>
      </c>
      <c r="M516" s="4" t="s">
        <v>44</v>
      </c>
      <c r="N516" s="5">
        <v>12</v>
      </c>
    </row>
    <row r="517" spans="1:14">
      <c r="A517" s="4" t="s">
        <v>972</v>
      </c>
      <c r="B517" s="4" t="s">
        <v>953</v>
      </c>
      <c r="C517" s="4">
        <f t="shared" si="32"/>
        <v>2026</v>
      </c>
      <c r="D517" s="4" t="str">
        <f t="shared" si="33"/>
        <v>September</v>
      </c>
      <c r="E517" s="4" t="str">
        <f t="shared" si="34"/>
        <v>Friday</v>
      </c>
      <c r="F517" s="4" t="s">
        <v>653</v>
      </c>
      <c r="G517" s="4">
        <f t="shared" si="35"/>
        <v>19</v>
      </c>
      <c r="H517" s="4" t="s">
        <v>72</v>
      </c>
      <c r="I517" s="4" t="s">
        <v>14</v>
      </c>
      <c r="J517" s="4">
        <v>3</v>
      </c>
      <c r="K517" s="5">
        <v>14</v>
      </c>
      <c r="L517" s="4" t="s">
        <v>41</v>
      </c>
      <c r="M517" s="4" t="s">
        <v>16</v>
      </c>
      <c r="N517" s="5">
        <v>42</v>
      </c>
    </row>
    <row r="518" spans="1:14">
      <c r="A518" s="4" t="s">
        <v>973</v>
      </c>
      <c r="B518" s="4" t="s">
        <v>974</v>
      </c>
      <c r="C518" s="4">
        <f t="shared" si="32"/>
        <v>2026</v>
      </c>
      <c r="D518" s="4" t="str">
        <f t="shared" si="33"/>
        <v>September</v>
      </c>
      <c r="E518" s="4" t="str">
        <f t="shared" si="34"/>
        <v>Saturday</v>
      </c>
      <c r="F518" s="4" t="s">
        <v>608</v>
      </c>
      <c r="G518" s="4">
        <f t="shared" si="35"/>
        <v>9</v>
      </c>
      <c r="H518" s="4" t="s">
        <v>21</v>
      </c>
      <c r="I518" s="4" t="s">
        <v>14</v>
      </c>
      <c r="J518" s="4">
        <v>1</v>
      </c>
      <c r="K518" s="5">
        <v>12</v>
      </c>
      <c r="L518" s="4" t="s">
        <v>26</v>
      </c>
      <c r="M518" s="4" t="s">
        <v>16</v>
      </c>
      <c r="N518" s="5">
        <v>12</v>
      </c>
    </row>
    <row r="519" spans="1:14">
      <c r="A519" s="4" t="s">
        <v>975</v>
      </c>
      <c r="B519" s="4" t="s">
        <v>974</v>
      </c>
      <c r="C519" s="4">
        <f t="shared" si="32"/>
        <v>2026</v>
      </c>
      <c r="D519" s="4" t="str">
        <f t="shared" si="33"/>
        <v>September</v>
      </c>
      <c r="E519" s="4" t="str">
        <f t="shared" si="34"/>
        <v>Saturday</v>
      </c>
      <c r="F519" s="4" t="s">
        <v>976</v>
      </c>
      <c r="G519" s="4">
        <f t="shared" si="35"/>
        <v>11</v>
      </c>
      <c r="H519" s="4" t="s">
        <v>21</v>
      </c>
      <c r="I519" s="4" t="s">
        <v>14</v>
      </c>
      <c r="J519" s="4">
        <v>3</v>
      </c>
      <c r="K519" s="5">
        <v>12</v>
      </c>
      <c r="L519" s="4" t="s">
        <v>26</v>
      </c>
      <c r="M519" s="4" t="s">
        <v>16</v>
      </c>
      <c r="N519" s="5">
        <v>36</v>
      </c>
    </row>
    <row r="520" spans="1:14">
      <c r="A520" s="4" t="s">
        <v>977</v>
      </c>
      <c r="B520" s="4" t="s">
        <v>974</v>
      </c>
      <c r="C520" s="4">
        <f t="shared" si="32"/>
        <v>2026</v>
      </c>
      <c r="D520" s="4" t="str">
        <f t="shared" si="33"/>
        <v>September</v>
      </c>
      <c r="E520" s="4" t="str">
        <f t="shared" si="34"/>
        <v>Saturday</v>
      </c>
      <c r="F520" s="4" t="s">
        <v>978</v>
      </c>
      <c r="G520" s="4">
        <f t="shared" si="35"/>
        <v>15</v>
      </c>
      <c r="H520" s="4" t="s">
        <v>62</v>
      </c>
      <c r="I520" s="4" t="s">
        <v>63</v>
      </c>
      <c r="J520" s="4">
        <v>1</v>
      </c>
      <c r="K520" s="5">
        <v>10</v>
      </c>
      <c r="L520" s="4" t="s">
        <v>15</v>
      </c>
      <c r="M520" s="4" t="s">
        <v>44</v>
      </c>
      <c r="N520" s="5">
        <v>10</v>
      </c>
    </row>
    <row r="521" spans="1:14">
      <c r="A521" s="4" t="s">
        <v>979</v>
      </c>
      <c r="B521" s="4" t="s">
        <v>974</v>
      </c>
      <c r="C521" s="4">
        <f t="shared" si="32"/>
        <v>2026</v>
      </c>
      <c r="D521" s="4" t="str">
        <f t="shared" si="33"/>
        <v>September</v>
      </c>
      <c r="E521" s="4" t="str">
        <f t="shared" si="34"/>
        <v>Saturday</v>
      </c>
      <c r="F521" s="4" t="s">
        <v>720</v>
      </c>
      <c r="G521" s="4">
        <f t="shared" si="35"/>
        <v>17</v>
      </c>
      <c r="H521" s="4" t="s">
        <v>35</v>
      </c>
      <c r="I521" s="4" t="s">
        <v>14</v>
      </c>
      <c r="J521" s="4">
        <v>1</v>
      </c>
      <c r="K521" s="5">
        <v>13</v>
      </c>
      <c r="L521" s="4" t="s">
        <v>41</v>
      </c>
      <c r="M521" s="4" t="s">
        <v>16</v>
      </c>
      <c r="N521" s="5">
        <v>13</v>
      </c>
    </row>
    <row r="522" spans="1:14">
      <c r="A522" s="4" t="s">
        <v>980</v>
      </c>
      <c r="B522" s="4" t="s">
        <v>974</v>
      </c>
      <c r="C522" s="4">
        <f t="shared" si="32"/>
        <v>2026</v>
      </c>
      <c r="D522" s="4" t="str">
        <f t="shared" si="33"/>
        <v>September</v>
      </c>
      <c r="E522" s="4" t="str">
        <f t="shared" si="34"/>
        <v>Saturday</v>
      </c>
      <c r="F522" s="4" t="s">
        <v>107</v>
      </c>
      <c r="G522" s="4">
        <f t="shared" si="35"/>
        <v>17</v>
      </c>
      <c r="H522" s="4" t="s">
        <v>72</v>
      </c>
      <c r="I522" s="4" t="s">
        <v>14</v>
      </c>
      <c r="J522" s="4">
        <v>1</v>
      </c>
      <c r="K522" s="5">
        <v>14</v>
      </c>
      <c r="L522" s="4" t="s">
        <v>41</v>
      </c>
      <c r="M522" s="4" t="s">
        <v>16</v>
      </c>
      <c r="N522" s="5">
        <v>14</v>
      </c>
    </row>
    <row r="523" spans="1:14">
      <c r="A523" s="4" t="s">
        <v>981</v>
      </c>
      <c r="B523" s="4" t="s">
        <v>974</v>
      </c>
      <c r="C523" s="4">
        <f t="shared" si="32"/>
        <v>2026</v>
      </c>
      <c r="D523" s="4" t="str">
        <f t="shared" si="33"/>
        <v>September</v>
      </c>
      <c r="E523" s="4" t="str">
        <f t="shared" si="34"/>
        <v>Saturday</v>
      </c>
      <c r="F523" s="4" t="s">
        <v>982</v>
      </c>
      <c r="G523" s="4">
        <f t="shared" si="35"/>
        <v>18</v>
      </c>
      <c r="H523" s="4" t="s">
        <v>35</v>
      </c>
      <c r="I523" s="4" t="s">
        <v>14</v>
      </c>
      <c r="J523" s="4">
        <v>3</v>
      </c>
      <c r="K523" s="5">
        <v>13</v>
      </c>
      <c r="L523" s="4" t="s">
        <v>26</v>
      </c>
      <c r="M523" s="4" t="s">
        <v>44</v>
      </c>
      <c r="N523" s="5">
        <v>39</v>
      </c>
    </row>
    <row r="524" spans="1:14">
      <c r="A524" s="4" t="s">
        <v>983</v>
      </c>
      <c r="B524" s="4" t="s">
        <v>974</v>
      </c>
      <c r="C524" s="4">
        <f t="shared" si="32"/>
        <v>2026</v>
      </c>
      <c r="D524" s="4" t="str">
        <f t="shared" si="33"/>
        <v>September</v>
      </c>
      <c r="E524" s="4" t="str">
        <f t="shared" si="34"/>
        <v>Saturday</v>
      </c>
      <c r="F524" s="4" t="s">
        <v>984</v>
      </c>
      <c r="G524" s="4">
        <f t="shared" si="35"/>
        <v>18</v>
      </c>
      <c r="H524" s="4" t="s">
        <v>62</v>
      </c>
      <c r="I524" s="4" t="s">
        <v>63</v>
      </c>
      <c r="J524" s="4">
        <v>1</v>
      </c>
      <c r="K524" s="5">
        <v>10</v>
      </c>
      <c r="L524" s="4" t="s">
        <v>41</v>
      </c>
      <c r="M524" s="4" t="s">
        <v>16</v>
      </c>
      <c r="N524" s="5">
        <v>10</v>
      </c>
    </row>
    <row r="525" spans="1:14">
      <c r="A525" s="4" t="s">
        <v>985</v>
      </c>
      <c r="B525" s="4" t="s">
        <v>974</v>
      </c>
      <c r="C525" s="4">
        <f t="shared" si="32"/>
        <v>2026</v>
      </c>
      <c r="D525" s="4" t="str">
        <f t="shared" si="33"/>
        <v>September</v>
      </c>
      <c r="E525" s="4" t="str">
        <f t="shared" si="34"/>
        <v>Saturday</v>
      </c>
      <c r="F525" s="4" t="s">
        <v>986</v>
      </c>
      <c r="G525" s="4">
        <f t="shared" si="35"/>
        <v>19</v>
      </c>
      <c r="H525" s="4" t="s">
        <v>54</v>
      </c>
      <c r="I525" s="4" t="s">
        <v>30</v>
      </c>
      <c r="J525" s="4">
        <v>1</v>
      </c>
      <c r="K525" s="5">
        <v>8</v>
      </c>
      <c r="L525" s="4" t="s">
        <v>41</v>
      </c>
      <c r="M525" s="4" t="s">
        <v>16</v>
      </c>
      <c r="N525" s="5">
        <v>8</v>
      </c>
    </row>
    <row r="526" spans="1:14">
      <c r="A526" s="4" t="s">
        <v>987</v>
      </c>
      <c r="B526" s="4" t="s">
        <v>974</v>
      </c>
      <c r="C526" s="4">
        <f t="shared" si="32"/>
        <v>2026</v>
      </c>
      <c r="D526" s="4" t="str">
        <f t="shared" si="33"/>
        <v>September</v>
      </c>
      <c r="E526" s="4" t="str">
        <f t="shared" si="34"/>
        <v>Saturday</v>
      </c>
      <c r="F526" s="4" t="s">
        <v>988</v>
      </c>
      <c r="G526" s="4">
        <f t="shared" si="35"/>
        <v>19</v>
      </c>
      <c r="H526" s="4" t="s">
        <v>38</v>
      </c>
      <c r="I526" s="4" t="s">
        <v>14</v>
      </c>
      <c r="J526" s="4">
        <v>1</v>
      </c>
      <c r="K526" s="5">
        <v>9</v>
      </c>
      <c r="L526" s="4" t="s">
        <v>41</v>
      </c>
      <c r="M526" s="4" t="s">
        <v>44</v>
      </c>
      <c r="N526" s="5">
        <v>9</v>
      </c>
    </row>
    <row r="527" spans="1:14">
      <c r="A527" s="4" t="s">
        <v>989</v>
      </c>
      <c r="B527" s="4" t="s">
        <v>990</v>
      </c>
      <c r="C527" s="4">
        <f t="shared" si="32"/>
        <v>2026</v>
      </c>
      <c r="D527" s="4" t="str">
        <f t="shared" si="33"/>
        <v>September</v>
      </c>
      <c r="E527" s="4" t="str">
        <f t="shared" si="34"/>
        <v>Sunday</v>
      </c>
      <c r="F527" s="4" t="s">
        <v>991</v>
      </c>
      <c r="G527" s="4">
        <f t="shared" si="35"/>
        <v>11</v>
      </c>
      <c r="H527" s="4" t="s">
        <v>29</v>
      </c>
      <c r="I527" s="4" t="s">
        <v>30</v>
      </c>
      <c r="J527" s="4">
        <v>1</v>
      </c>
      <c r="K527" s="5">
        <v>9</v>
      </c>
      <c r="L527" s="4" t="s">
        <v>26</v>
      </c>
      <c r="M527" s="4" t="s">
        <v>44</v>
      </c>
      <c r="N527" s="5">
        <v>9</v>
      </c>
    </row>
    <row r="528" spans="1:14">
      <c r="A528" s="4" t="s">
        <v>992</v>
      </c>
      <c r="B528" s="4" t="s">
        <v>990</v>
      </c>
      <c r="C528" s="4">
        <f t="shared" si="32"/>
        <v>2026</v>
      </c>
      <c r="D528" s="4" t="str">
        <f t="shared" si="33"/>
        <v>September</v>
      </c>
      <c r="E528" s="4" t="str">
        <f t="shared" si="34"/>
        <v>Sunday</v>
      </c>
      <c r="F528" s="4" t="s">
        <v>514</v>
      </c>
      <c r="G528" s="4">
        <f t="shared" si="35"/>
        <v>12</v>
      </c>
      <c r="H528" s="4" t="s">
        <v>54</v>
      </c>
      <c r="I528" s="4" t="s">
        <v>30</v>
      </c>
      <c r="J528" s="4">
        <v>2</v>
      </c>
      <c r="K528" s="5">
        <v>8</v>
      </c>
      <c r="L528" s="4" t="s">
        <v>41</v>
      </c>
      <c r="M528" s="4" t="s">
        <v>44</v>
      </c>
      <c r="N528" s="5">
        <v>16</v>
      </c>
    </row>
    <row r="529" spans="1:14">
      <c r="A529" s="4" t="s">
        <v>993</v>
      </c>
      <c r="B529" s="4" t="s">
        <v>990</v>
      </c>
      <c r="C529" s="4">
        <f t="shared" si="32"/>
        <v>2026</v>
      </c>
      <c r="D529" s="4" t="str">
        <f t="shared" si="33"/>
        <v>September</v>
      </c>
      <c r="E529" s="4" t="str">
        <f t="shared" si="34"/>
        <v>Sunday</v>
      </c>
      <c r="F529" s="4" t="s">
        <v>994</v>
      </c>
      <c r="G529" s="4">
        <f t="shared" si="35"/>
        <v>12</v>
      </c>
      <c r="H529" s="4" t="s">
        <v>21</v>
      </c>
      <c r="I529" s="4" t="s">
        <v>14</v>
      </c>
      <c r="J529" s="4">
        <v>1</v>
      </c>
      <c r="K529" s="5">
        <v>12</v>
      </c>
      <c r="L529" s="4" t="s">
        <v>15</v>
      </c>
      <c r="M529" s="4" t="s">
        <v>44</v>
      </c>
      <c r="N529" s="5">
        <v>12</v>
      </c>
    </row>
    <row r="530" spans="1:14">
      <c r="A530" s="4" t="s">
        <v>995</v>
      </c>
      <c r="B530" s="4" t="s">
        <v>990</v>
      </c>
      <c r="C530" s="4">
        <f t="shared" si="32"/>
        <v>2026</v>
      </c>
      <c r="D530" s="4" t="str">
        <f t="shared" si="33"/>
        <v>September</v>
      </c>
      <c r="E530" s="4" t="str">
        <f t="shared" si="34"/>
        <v>Sunday</v>
      </c>
      <c r="F530" s="4" t="s">
        <v>782</v>
      </c>
      <c r="G530" s="4">
        <f t="shared" si="35"/>
        <v>12</v>
      </c>
      <c r="H530" s="4" t="s">
        <v>51</v>
      </c>
      <c r="I530" s="4" t="s">
        <v>14</v>
      </c>
      <c r="J530" s="4">
        <v>1</v>
      </c>
      <c r="K530" s="5">
        <v>7</v>
      </c>
      <c r="L530" s="4" t="s">
        <v>41</v>
      </c>
      <c r="M530" s="4" t="s">
        <v>16</v>
      </c>
      <c r="N530" s="5">
        <v>7</v>
      </c>
    </row>
    <row r="531" spans="1:14">
      <c r="A531" s="4" t="s">
        <v>996</v>
      </c>
      <c r="B531" s="4" t="s">
        <v>990</v>
      </c>
      <c r="C531" s="4">
        <f t="shared" si="32"/>
        <v>2026</v>
      </c>
      <c r="D531" s="4" t="str">
        <f t="shared" si="33"/>
        <v>September</v>
      </c>
      <c r="E531" s="4" t="str">
        <f t="shared" si="34"/>
        <v>Sunday</v>
      </c>
      <c r="F531" s="4" t="s">
        <v>997</v>
      </c>
      <c r="G531" s="4">
        <f t="shared" si="35"/>
        <v>13</v>
      </c>
      <c r="H531" s="4" t="s">
        <v>72</v>
      </c>
      <c r="I531" s="4" t="s">
        <v>14</v>
      </c>
      <c r="J531" s="4">
        <v>1</v>
      </c>
      <c r="K531" s="5">
        <v>14</v>
      </c>
      <c r="L531" s="4" t="s">
        <v>15</v>
      </c>
      <c r="M531" s="4" t="s">
        <v>44</v>
      </c>
      <c r="N531" s="5">
        <v>14</v>
      </c>
    </row>
    <row r="532" spans="1:14">
      <c r="A532" s="4" t="s">
        <v>998</v>
      </c>
      <c r="B532" s="4" t="s">
        <v>990</v>
      </c>
      <c r="C532" s="4">
        <f t="shared" si="32"/>
        <v>2026</v>
      </c>
      <c r="D532" s="4" t="str">
        <f t="shared" si="33"/>
        <v>September</v>
      </c>
      <c r="E532" s="4" t="str">
        <f t="shared" si="34"/>
        <v>Sunday</v>
      </c>
      <c r="F532" s="4" t="s">
        <v>155</v>
      </c>
      <c r="G532" s="4">
        <f t="shared" si="35"/>
        <v>14</v>
      </c>
      <c r="H532" s="4" t="s">
        <v>21</v>
      </c>
      <c r="I532" s="4" t="s">
        <v>14</v>
      </c>
      <c r="J532" s="4">
        <v>1</v>
      </c>
      <c r="K532" s="5">
        <v>12</v>
      </c>
      <c r="L532" s="4" t="s">
        <v>26</v>
      </c>
      <c r="M532" s="4" t="s">
        <v>16</v>
      </c>
      <c r="N532" s="5">
        <v>12</v>
      </c>
    </row>
    <row r="533" spans="1:14">
      <c r="A533" s="4" t="s">
        <v>999</v>
      </c>
      <c r="B533" s="4" t="s">
        <v>990</v>
      </c>
      <c r="C533" s="4">
        <f t="shared" si="32"/>
        <v>2026</v>
      </c>
      <c r="D533" s="4" t="str">
        <f t="shared" si="33"/>
        <v>September</v>
      </c>
      <c r="E533" s="4" t="str">
        <f t="shared" si="34"/>
        <v>Sunday</v>
      </c>
      <c r="F533" s="4" t="s">
        <v>1000</v>
      </c>
      <c r="G533" s="4">
        <f t="shared" si="35"/>
        <v>14</v>
      </c>
      <c r="H533" s="4" t="s">
        <v>38</v>
      </c>
      <c r="I533" s="4" t="s">
        <v>14</v>
      </c>
      <c r="J533" s="4">
        <v>2</v>
      </c>
      <c r="K533" s="5">
        <v>9</v>
      </c>
      <c r="L533" s="4" t="s">
        <v>26</v>
      </c>
      <c r="M533" s="4" t="s">
        <v>44</v>
      </c>
      <c r="N533" s="5">
        <v>18</v>
      </c>
    </row>
    <row r="534" spans="1:14">
      <c r="A534" s="4" t="s">
        <v>1001</v>
      </c>
      <c r="B534" s="4" t="s">
        <v>990</v>
      </c>
      <c r="C534" s="4">
        <f t="shared" si="32"/>
        <v>2026</v>
      </c>
      <c r="D534" s="4" t="str">
        <f t="shared" si="33"/>
        <v>September</v>
      </c>
      <c r="E534" s="4" t="str">
        <f t="shared" si="34"/>
        <v>Sunday</v>
      </c>
      <c r="F534" s="4" t="s">
        <v>40</v>
      </c>
      <c r="G534" s="4">
        <f t="shared" si="35"/>
        <v>15</v>
      </c>
      <c r="H534" s="4" t="s">
        <v>35</v>
      </c>
      <c r="I534" s="4" t="s">
        <v>14</v>
      </c>
      <c r="J534" s="4">
        <v>1</v>
      </c>
      <c r="K534" s="5">
        <v>13</v>
      </c>
      <c r="L534" s="4" t="s">
        <v>26</v>
      </c>
      <c r="M534" s="4" t="s">
        <v>44</v>
      </c>
      <c r="N534" s="5">
        <v>13</v>
      </c>
    </row>
    <row r="535" spans="1:14">
      <c r="A535" s="4" t="s">
        <v>1002</v>
      </c>
      <c r="B535" s="4" t="s">
        <v>990</v>
      </c>
      <c r="C535" s="4">
        <f t="shared" si="32"/>
        <v>2026</v>
      </c>
      <c r="D535" s="4" t="str">
        <f t="shared" si="33"/>
        <v>September</v>
      </c>
      <c r="E535" s="4" t="str">
        <f t="shared" si="34"/>
        <v>Sunday</v>
      </c>
      <c r="F535" s="4" t="s">
        <v>1003</v>
      </c>
      <c r="G535" s="4">
        <f t="shared" si="35"/>
        <v>15</v>
      </c>
      <c r="H535" s="4" t="s">
        <v>13</v>
      </c>
      <c r="I535" s="4" t="s">
        <v>14</v>
      </c>
      <c r="J535" s="4">
        <v>1</v>
      </c>
      <c r="K535" s="5">
        <v>15</v>
      </c>
      <c r="L535" s="4" t="s">
        <v>26</v>
      </c>
      <c r="M535" s="4" t="s">
        <v>44</v>
      </c>
      <c r="N535" s="5">
        <v>15</v>
      </c>
    </row>
    <row r="536" spans="1:14">
      <c r="A536" s="4" t="s">
        <v>1004</v>
      </c>
      <c r="B536" s="4" t="s">
        <v>990</v>
      </c>
      <c r="C536" s="4">
        <f t="shared" si="32"/>
        <v>2026</v>
      </c>
      <c r="D536" s="4" t="str">
        <f t="shared" si="33"/>
        <v>September</v>
      </c>
      <c r="E536" s="4" t="str">
        <f t="shared" si="34"/>
        <v>Sunday</v>
      </c>
      <c r="F536" s="4" t="s">
        <v>868</v>
      </c>
      <c r="G536" s="4">
        <f t="shared" si="35"/>
        <v>16</v>
      </c>
      <c r="H536" s="4" t="s">
        <v>35</v>
      </c>
      <c r="I536" s="4" t="s">
        <v>14</v>
      </c>
      <c r="J536" s="4">
        <v>2</v>
      </c>
      <c r="K536" s="5">
        <v>13</v>
      </c>
      <c r="L536" s="4" t="s">
        <v>26</v>
      </c>
      <c r="M536" s="4" t="s">
        <v>44</v>
      </c>
      <c r="N536" s="5">
        <v>26</v>
      </c>
    </row>
    <row r="537" spans="1:14">
      <c r="A537" s="4" t="s">
        <v>1005</v>
      </c>
      <c r="B537" s="4" t="s">
        <v>990</v>
      </c>
      <c r="C537" s="4">
        <f t="shared" si="32"/>
        <v>2026</v>
      </c>
      <c r="D537" s="4" t="str">
        <f t="shared" si="33"/>
        <v>September</v>
      </c>
      <c r="E537" s="4" t="str">
        <f t="shared" si="34"/>
        <v>Sunday</v>
      </c>
      <c r="F537" s="4" t="s">
        <v>982</v>
      </c>
      <c r="G537" s="4">
        <f t="shared" si="35"/>
        <v>18</v>
      </c>
      <c r="H537" s="4" t="s">
        <v>51</v>
      </c>
      <c r="I537" s="4" t="s">
        <v>14</v>
      </c>
      <c r="J537" s="4">
        <v>1</v>
      </c>
      <c r="K537" s="5">
        <v>7</v>
      </c>
      <c r="L537" s="4" t="s">
        <v>26</v>
      </c>
      <c r="M537" s="4" t="s">
        <v>44</v>
      </c>
      <c r="N537" s="5">
        <v>7</v>
      </c>
    </row>
    <row r="538" spans="1:14">
      <c r="A538" s="4" t="s">
        <v>1006</v>
      </c>
      <c r="B538" s="4" t="s">
        <v>990</v>
      </c>
      <c r="C538" s="4">
        <f t="shared" si="32"/>
        <v>2026</v>
      </c>
      <c r="D538" s="4" t="str">
        <f t="shared" si="33"/>
        <v>September</v>
      </c>
      <c r="E538" s="4" t="str">
        <f t="shared" si="34"/>
        <v>Sunday</v>
      </c>
      <c r="F538" s="4" t="s">
        <v>135</v>
      </c>
      <c r="G538" s="4">
        <f t="shared" si="35"/>
        <v>18</v>
      </c>
      <c r="H538" s="4" t="s">
        <v>21</v>
      </c>
      <c r="I538" s="4" t="s">
        <v>14</v>
      </c>
      <c r="J538" s="4">
        <v>1</v>
      </c>
      <c r="K538" s="5">
        <v>12</v>
      </c>
      <c r="L538" s="4" t="s">
        <v>26</v>
      </c>
      <c r="M538" s="4" t="s">
        <v>16</v>
      </c>
      <c r="N538" s="5">
        <v>12</v>
      </c>
    </row>
    <row r="539" spans="1:14">
      <c r="A539" s="4" t="s">
        <v>1007</v>
      </c>
      <c r="B539" s="4" t="s">
        <v>1008</v>
      </c>
      <c r="C539" s="4">
        <f t="shared" si="32"/>
        <v>2026</v>
      </c>
      <c r="D539" s="4" t="str">
        <f t="shared" si="33"/>
        <v>September</v>
      </c>
      <c r="E539" s="4" t="str">
        <f t="shared" si="34"/>
        <v>Monday</v>
      </c>
      <c r="F539" s="4" t="s">
        <v>1009</v>
      </c>
      <c r="G539" s="4">
        <f t="shared" si="35"/>
        <v>8</v>
      </c>
      <c r="H539" s="4" t="s">
        <v>54</v>
      </c>
      <c r="I539" s="4" t="s">
        <v>30</v>
      </c>
      <c r="J539" s="4">
        <v>2</v>
      </c>
      <c r="K539" s="5">
        <v>8</v>
      </c>
      <c r="L539" s="4" t="s">
        <v>26</v>
      </c>
      <c r="M539" s="4" t="s">
        <v>16</v>
      </c>
      <c r="N539" s="5">
        <v>16</v>
      </c>
    </row>
    <row r="540" spans="1:14">
      <c r="A540" s="4" t="s">
        <v>1010</v>
      </c>
      <c r="B540" s="4" t="s">
        <v>1008</v>
      </c>
      <c r="C540" s="4">
        <f t="shared" si="32"/>
        <v>2026</v>
      </c>
      <c r="D540" s="4" t="str">
        <f t="shared" si="33"/>
        <v>September</v>
      </c>
      <c r="E540" s="4" t="str">
        <f t="shared" si="34"/>
        <v>Monday</v>
      </c>
      <c r="F540" s="4" t="s">
        <v>255</v>
      </c>
      <c r="G540" s="4">
        <f t="shared" si="35"/>
        <v>10</v>
      </c>
      <c r="H540" s="4" t="s">
        <v>105</v>
      </c>
      <c r="I540" s="4" t="s">
        <v>25</v>
      </c>
      <c r="J540" s="4">
        <v>1</v>
      </c>
      <c r="K540" s="5">
        <v>12</v>
      </c>
      <c r="L540" s="4" t="s">
        <v>26</v>
      </c>
      <c r="M540" s="4" t="s">
        <v>16</v>
      </c>
      <c r="N540" s="5">
        <v>12</v>
      </c>
    </row>
    <row r="541" spans="1:14">
      <c r="A541" s="4" t="s">
        <v>1011</v>
      </c>
      <c r="B541" s="4" t="s">
        <v>1008</v>
      </c>
      <c r="C541" s="4">
        <f t="shared" si="32"/>
        <v>2026</v>
      </c>
      <c r="D541" s="4" t="str">
        <f t="shared" si="33"/>
        <v>September</v>
      </c>
      <c r="E541" s="4" t="str">
        <f t="shared" si="34"/>
        <v>Monday</v>
      </c>
      <c r="F541" s="4" t="s">
        <v>1012</v>
      </c>
      <c r="G541" s="4">
        <f t="shared" si="35"/>
        <v>10</v>
      </c>
      <c r="H541" s="4" t="s">
        <v>13</v>
      </c>
      <c r="I541" s="4" t="s">
        <v>14</v>
      </c>
      <c r="J541" s="4">
        <v>1</v>
      </c>
      <c r="K541" s="5">
        <v>15</v>
      </c>
      <c r="L541" s="4" t="s">
        <v>26</v>
      </c>
      <c r="M541" s="4" t="s">
        <v>16</v>
      </c>
      <c r="N541" s="5">
        <v>15</v>
      </c>
    </row>
    <row r="542" spans="1:14">
      <c r="A542" s="4" t="s">
        <v>1013</v>
      </c>
      <c r="B542" s="4" t="s">
        <v>1008</v>
      </c>
      <c r="C542" s="4">
        <f t="shared" si="32"/>
        <v>2026</v>
      </c>
      <c r="D542" s="4" t="str">
        <f t="shared" si="33"/>
        <v>September</v>
      </c>
      <c r="E542" s="4" t="str">
        <f t="shared" si="34"/>
        <v>Monday</v>
      </c>
      <c r="F542" s="4" t="s">
        <v>1014</v>
      </c>
      <c r="G542" s="4">
        <f t="shared" si="35"/>
        <v>11</v>
      </c>
      <c r="H542" s="4" t="s">
        <v>21</v>
      </c>
      <c r="I542" s="4" t="s">
        <v>14</v>
      </c>
      <c r="J542" s="4">
        <v>1</v>
      </c>
      <c r="K542" s="5">
        <v>12</v>
      </c>
      <c r="L542" s="4" t="s">
        <v>26</v>
      </c>
      <c r="M542" s="4" t="s">
        <v>16</v>
      </c>
      <c r="N542" s="5">
        <v>12</v>
      </c>
    </row>
    <row r="543" spans="1:14">
      <c r="A543" s="4" t="s">
        <v>1015</v>
      </c>
      <c r="B543" s="4" t="s">
        <v>1008</v>
      </c>
      <c r="C543" s="4">
        <f t="shared" si="32"/>
        <v>2026</v>
      </c>
      <c r="D543" s="4" t="str">
        <f t="shared" si="33"/>
        <v>September</v>
      </c>
      <c r="E543" s="4" t="str">
        <f t="shared" si="34"/>
        <v>Monday</v>
      </c>
      <c r="F543" s="4" t="s">
        <v>23</v>
      </c>
      <c r="G543" s="4">
        <f t="shared" si="35"/>
        <v>11</v>
      </c>
      <c r="H543" s="4" t="s">
        <v>21</v>
      </c>
      <c r="I543" s="4" t="s">
        <v>14</v>
      </c>
      <c r="J543" s="4">
        <v>2</v>
      </c>
      <c r="K543" s="5">
        <v>12</v>
      </c>
      <c r="L543" s="4" t="s">
        <v>41</v>
      </c>
      <c r="M543" s="4" t="s">
        <v>44</v>
      </c>
      <c r="N543" s="5">
        <v>24</v>
      </c>
    </row>
    <row r="544" spans="1:14">
      <c r="A544" s="4" t="s">
        <v>1016</v>
      </c>
      <c r="B544" s="4" t="s">
        <v>1008</v>
      </c>
      <c r="C544" s="4">
        <f t="shared" si="32"/>
        <v>2026</v>
      </c>
      <c r="D544" s="4" t="str">
        <f t="shared" si="33"/>
        <v>September</v>
      </c>
      <c r="E544" s="4" t="str">
        <f t="shared" si="34"/>
        <v>Monday</v>
      </c>
      <c r="F544" s="4" t="s">
        <v>298</v>
      </c>
      <c r="G544" s="4">
        <f t="shared" si="35"/>
        <v>11</v>
      </c>
      <c r="H544" s="4" t="s">
        <v>13</v>
      </c>
      <c r="I544" s="4" t="s">
        <v>14</v>
      </c>
      <c r="J544" s="4">
        <v>1</v>
      </c>
      <c r="K544" s="5">
        <v>15</v>
      </c>
      <c r="L544" s="4" t="s">
        <v>26</v>
      </c>
      <c r="M544" s="4" t="s">
        <v>16</v>
      </c>
      <c r="N544" s="5">
        <v>15</v>
      </c>
    </row>
    <row r="545" spans="1:14">
      <c r="A545" s="4" t="s">
        <v>1017</v>
      </c>
      <c r="B545" s="4" t="s">
        <v>1008</v>
      </c>
      <c r="C545" s="4">
        <f t="shared" si="32"/>
        <v>2026</v>
      </c>
      <c r="D545" s="4" t="str">
        <f t="shared" si="33"/>
        <v>September</v>
      </c>
      <c r="E545" s="4" t="str">
        <f t="shared" si="34"/>
        <v>Monday</v>
      </c>
      <c r="F545" s="4" t="s">
        <v>782</v>
      </c>
      <c r="G545" s="4">
        <f t="shared" si="35"/>
        <v>12</v>
      </c>
      <c r="H545" s="4" t="s">
        <v>35</v>
      </c>
      <c r="I545" s="4" t="s">
        <v>14</v>
      </c>
      <c r="J545" s="4">
        <v>1</v>
      </c>
      <c r="K545" s="5">
        <v>13</v>
      </c>
      <c r="L545" s="4" t="s">
        <v>26</v>
      </c>
      <c r="M545" s="4" t="s">
        <v>16</v>
      </c>
      <c r="N545" s="5">
        <v>13</v>
      </c>
    </row>
    <row r="546" spans="1:14">
      <c r="A546" s="4" t="s">
        <v>1018</v>
      </c>
      <c r="B546" s="4" t="s">
        <v>1008</v>
      </c>
      <c r="C546" s="4">
        <f t="shared" si="32"/>
        <v>2026</v>
      </c>
      <c r="D546" s="4" t="str">
        <f t="shared" si="33"/>
        <v>September</v>
      </c>
      <c r="E546" s="4" t="str">
        <f t="shared" si="34"/>
        <v>Monday</v>
      </c>
      <c r="F546" s="4" t="s">
        <v>592</v>
      </c>
      <c r="G546" s="4">
        <f t="shared" si="35"/>
        <v>13</v>
      </c>
      <c r="H546" s="4" t="s">
        <v>24</v>
      </c>
      <c r="I546" s="4" t="s">
        <v>25</v>
      </c>
      <c r="J546" s="4">
        <v>3</v>
      </c>
      <c r="K546" s="5">
        <v>14</v>
      </c>
      <c r="L546" s="4" t="s">
        <v>26</v>
      </c>
      <c r="M546" s="4" t="s">
        <v>44</v>
      </c>
      <c r="N546" s="5">
        <v>42</v>
      </c>
    </row>
    <row r="547" spans="1:14">
      <c r="A547" s="4" t="s">
        <v>1019</v>
      </c>
      <c r="B547" s="4" t="s">
        <v>1008</v>
      </c>
      <c r="C547" s="4">
        <f t="shared" si="32"/>
        <v>2026</v>
      </c>
      <c r="D547" s="4" t="str">
        <f t="shared" si="33"/>
        <v>September</v>
      </c>
      <c r="E547" s="4" t="str">
        <f t="shared" si="34"/>
        <v>Monday</v>
      </c>
      <c r="F547" s="4" t="s">
        <v>1020</v>
      </c>
      <c r="G547" s="4">
        <f t="shared" si="35"/>
        <v>14</v>
      </c>
      <c r="H547" s="4" t="s">
        <v>29</v>
      </c>
      <c r="I547" s="4" t="s">
        <v>30</v>
      </c>
      <c r="J547" s="4">
        <v>1</v>
      </c>
      <c r="K547" s="5">
        <v>9</v>
      </c>
      <c r="L547" s="4" t="s">
        <v>15</v>
      </c>
      <c r="M547" s="4" t="s">
        <v>44</v>
      </c>
      <c r="N547" s="5">
        <v>9</v>
      </c>
    </row>
    <row r="548" spans="1:14">
      <c r="A548" s="4" t="s">
        <v>1021</v>
      </c>
      <c r="B548" s="4" t="s">
        <v>1008</v>
      </c>
      <c r="C548" s="4">
        <f t="shared" si="32"/>
        <v>2026</v>
      </c>
      <c r="D548" s="4" t="str">
        <f t="shared" si="33"/>
        <v>September</v>
      </c>
      <c r="E548" s="4" t="str">
        <f t="shared" si="34"/>
        <v>Monday</v>
      </c>
      <c r="F548" s="4" t="s">
        <v>966</v>
      </c>
      <c r="G548" s="4">
        <f t="shared" si="35"/>
        <v>14</v>
      </c>
      <c r="H548" s="4" t="s">
        <v>62</v>
      </c>
      <c r="I548" s="4" t="s">
        <v>63</v>
      </c>
      <c r="J548" s="4">
        <v>1</v>
      </c>
      <c r="K548" s="5">
        <v>10</v>
      </c>
      <c r="L548" s="4" t="s">
        <v>41</v>
      </c>
      <c r="M548" s="4" t="s">
        <v>16</v>
      </c>
      <c r="N548" s="5">
        <v>10</v>
      </c>
    </row>
    <row r="549" spans="1:14">
      <c r="A549" s="4" t="s">
        <v>1022</v>
      </c>
      <c r="B549" s="4" t="s">
        <v>1008</v>
      </c>
      <c r="C549" s="4">
        <f t="shared" si="32"/>
        <v>2026</v>
      </c>
      <c r="D549" s="4" t="str">
        <f t="shared" si="33"/>
        <v>September</v>
      </c>
      <c r="E549" s="4" t="str">
        <f t="shared" si="34"/>
        <v>Monday</v>
      </c>
      <c r="F549" s="4" t="s">
        <v>360</v>
      </c>
      <c r="G549" s="4">
        <f t="shared" si="35"/>
        <v>14</v>
      </c>
      <c r="H549" s="4" t="s">
        <v>35</v>
      </c>
      <c r="I549" s="4" t="s">
        <v>14</v>
      </c>
      <c r="J549" s="4">
        <v>1</v>
      </c>
      <c r="K549" s="5">
        <v>13</v>
      </c>
      <c r="L549" s="4" t="s">
        <v>41</v>
      </c>
      <c r="M549" s="4" t="s">
        <v>44</v>
      </c>
      <c r="N549" s="5">
        <v>13</v>
      </c>
    </row>
    <row r="550" spans="1:14">
      <c r="A550" s="4" t="s">
        <v>1023</v>
      </c>
      <c r="B550" s="4" t="s">
        <v>1008</v>
      </c>
      <c r="C550" s="4">
        <f t="shared" si="32"/>
        <v>2026</v>
      </c>
      <c r="D550" s="4" t="str">
        <f t="shared" si="33"/>
        <v>September</v>
      </c>
      <c r="E550" s="4" t="str">
        <f t="shared" si="34"/>
        <v>Monday</v>
      </c>
      <c r="F550" s="4" t="s">
        <v>935</v>
      </c>
      <c r="G550" s="4">
        <f t="shared" si="35"/>
        <v>16</v>
      </c>
      <c r="H550" s="4" t="s">
        <v>62</v>
      </c>
      <c r="I550" s="4" t="s">
        <v>63</v>
      </c>
      <c r="J550" s="4">
        <v>1</v>
      </c>
      <c r="K550" s="5">
        <v>10</v>
      </c>
      <c r="L550" s="4" t="s">
        <v>26</v>
      </c>
      <c r="M550" s="4" t="s">
        <v>16</v>
      </c>
      <c r="N550" s="5">
        <v>10</v>
      </c>
    </row>
    <row r="551" spans="1:14">
      <c r="A551" s="4" t="s">
        <v>1024</v>
      </c>
      <c r="B551" s="4" t="s">
        <v>1008</v>
      </c>
      <c r="C551" s="4">
        <f t="shared" si="32"/>
        <v>2026</v>
      </c>
      <c r="D551" s="4" t="str">
        <f t="shared" si="33"/>
        <v>September</v>
      </c>
      <c r="E551" s="4" t="str">
        <f t="shared" si="34"/>
        <v>Monday</v>
      </c>
      <c r="F551" s="4" t="s">
        <v>325</v>
      </c>
      <c r="G551" s="4">
        <f t="shared" si="35"/>
        <v>16</v>
      </c>
      <c r="H551" s="4" t="s">
        <v>21</v>
      </c>
      <c r="I551" s="4" t="s">
        <v>14</v>
      </c>
      <c r="J551" s="4">
        <v>3</v>
      </c>
      <c r="K551" s="5">
        <v>12</v>
      </c>
      <c r="L551" s="4" t="s">
        <v>15</v>
      </c>
      <c r="M551" s="4" t="s">
        <v>44</v>
      </c>
      <c r="N551" s="5">
        <v>36</v>
      </c>
    </row>
  </sheetData>
  <phoneticPr fontId="2" type="noConversion"/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0" customWidth="1"/>
    <col min="2" max="3" width="18" customWidth="1"/>
    <col min="4" max="4" width="26" customWidth="1"/>
    <col min="5" max="5" width="17" customWidth="1"/>
    <col min="6" max="6" width="13" customWidth="1"/>
    <col min="7" max="7" width="19" customWidth="1"/>
    <col min="8" max="8" width="20" customWidth="1"/>
    <col min="9" max="9" width="17" customWidth="1"/>
    <col min="10" max="10" width="21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2">
        <v>15</v>
      </c>
      <c r="H2" t="s">
        <v>15</v>
      </c>
      <c r="I2" t="s">
        <v>16</v>
      </c>
      <c r="J2" s="2">
        <v>15</v>
      </c>
    </row>
    <row r="3" spans="1:10">
      <c r="A3" t="s">
        <v>17</v>
      </c>
      <c r="B3" t="s">
        <v>11</v>
      </c>
      <c r="C3" t="s">
        <v>18</v>
      </c>
      <c r="D3" t="s">
        <v>13</v>
      </c>
      <c r="E3" t="s">
        <v>14</v>
      </c>
      <c r="F3">
        <v>1</v>
      </c>
      <c r="G3" s="2">
        <v>15</v>
      </c>
      <c r="H3" t="s">
        <v>15</v>
      </c>
      <c r="I3" t="s">
        <v>16</v>
      </c>
      <c r="J3" s="2">
        <v>15</v>
      </c>
    </row>
    <row r="4" spans="1:10">
      <c r="A4" t="s">
        <v>19</v>
      </c>
      <c r="B4" t="s">
        <v>11</v>
      </c>
      <c r="C4" t="s">
        <v>20</v>
      </c>
      <c r="D4" t="s">
        <v>21</v>
      </c>
      <c r="E4" t="s">
        <v>14</v>
      </c>
      <c r="F4">
        <v>2</v>
      </c>
      <c r="G4" s="2">
        <v>12</v>
      </c>
      <c r="H4" t="s">
        <v>15</v>
      </c>
      <c r="I4" t="s">
        <v>16</v>
      </c>
      <c r="J4" s="2">
        <v>24</v>
      </c>
    </row>
    <row r="5" spans="1:10">
      <c r="A5" t="s">
        <v>22</v>
      </c>
      <c r="B5" t="s">
        <v>11</v>
      </c>
      <c r="C5" t="s">
        <v>23</v>
      </c>
      <c r="D5" t="s">
        <v>24</v>
      </c>
      <c r="E5" t="s">
        <v>25</v>
      </c>
      <c r="F5">
        <v>1</v>
      </c>
      <c r="G5" s="2">
        <v>14</v>
      </c>
      <c r="H5" t="s">
        <v>26</v>
      </c>
      <c r="I5" t="s">
        <v>16</v>
      </c>
      <c r="J5" s="2">
        <v>14</v>
      </c>
    </row>
    <row r="6" spans="1:10">
      <c r="A6" t="s">
        <v>27</v>
      </c>
      <c r="B6" t="s">
        <v>11</v>
      </c>
      <c r="C6" t="s">
        <v>28</v>
      </c>
      <c r="D6" t="s">
        <v>29</v>
      </c>
      <c r="E6" t="s">
        <v>30</v>
      </c>
      <c r="F6">
        <v>1</v>
      </c>
      <c r="G6" s="2">
        <v>9</v>
      </c>
      <c r="H6" t="s">
        <v>26</v>
      </c>
      <c r="I6" t="s">
        <v>16</v>
      </c>
      <c r="J6" s="2">
        <v>9</v>
      </c>
    </row>
    <row r="7" spans="1:10">
      <c r="A7" t="s">
        <v>31</v>
      </c>
      <c r="B7" t="s">
        <v>11</v>
      </c>
      <c r="C7" t="s">
        <v>32</v>
      </c>
      <c r="D7" t="s">
        <v>24</v>
      </c>
      <c r="E7" t="s">
        <v>25</v>
      </c>
      <c r="F7">
        <v>2</v>
      </c>
      <c r="G7" s="2">
        <v>14</v>
      </c>
      <c r="H7" t="s">
        <v>26</v>
      </c>
      <c r="I7" t="s">
        <v>16</v>
      </c>
      <c r="J7" s="2">
        <v>28</v>
      </c>
    </row>
    <row r="8" spans="1:10">
      <c r="A8" t="s">
        <v>33</v>
      </c>
      <c r="B8" t="s">
        <v>11</v>
      </c>
      <c r="C8" t="s">
        <v>34</v>
      </c>
      <c r="D8" t="s">
        <v>35</v>
      </c>
      <c r="E8" t="s">
        <v>14</v>
      </c>
      <c r="F8">
        <v>2</v>
      </c>
      <c r="G8" s="2">
        <v>13</v>
      </c>
      <c r="H8" t="s">
        <v>26</v>
      </c>
      <c r="I8" t="s">
        <v>16</v>
      </c>
      <c r="J8" s="2">
        <v>26</v>
      </c>
    </row>
    <row r="9" spans="1:10">
      <c r="A9" t="s">
        <v>36</v>
      </c>
      <c r="B9" t="s">
        <v>11</v>
      </c>
      <c r="C9" t="s">
        <v>37</v>
      </c>
      <c r="D9" t="s">
        <v>38</v>
      </c>
      <c r="E9" t="s">
        <v>14</v>
      </c>
      <c r="F9">
        <v>2</v>
      </c>
      <c r="G9" s="2">
        <v>9</v>
      </c>
      <c r="H9" t="s">
        <v>26</v>
      </c>
      <c r="I9" t="s">
        <v>16</v>
      </c>
      <c r="J9" s="2">
        <v>18</v>
      </c>
    </row>
    <row r="10" spans="1:10">
      <c r="A10" t="s">
        <v>39</v>
      </c>
      <c r="B10" t="s">
        <v>11</v>
      </c>
      <c r="C10" t="s">
        <v>40</v>
      </c>
      <c r="D10" t="s">
        <v>38</v>
      </c>
      <c r="E10" t="s">
        <v>14</v>
      </c>
      <c r="F10">
        <v>1</v>
      </c>
      <c r="G10" s="2">
        <v>9</v>
      </c>
      <c r="H10" t="s">
        <v>41</v>
      </c>
      <c r="I10" t="s">
        <v>16</v>
      </c>
      <c r="J10" s="2">
        <v>9</v>
      </c>
    </row>
    <row r="11" spans="1:10">
      <c r="A11" t="s">
        <v>42</v>
      </c>
      <c r="B11" t="s">
        <v>11</v>
      </c>
      <c r="C11" t="s">
        <v>43</v>
      </c>
      <c r="D11" t="s">
        <v>21</v>
      </c>
      <c r="E11" t="s">
        <v>14</v>
      </c>
      <c r="F11">
        <v>2</v>
      </c>
      <c r="G11" s="2">
        <v>12</v>
      </c>
      <c r="H11" t="s">
        <v>26</v>
      </c>
      <c r="I11" t="s">
        <v>44</v>
      </c>
      <c r="J11" s="2">
        <v>24</v>
      </c>
    </row>
    <row r="12" spans="1:10">
      <c r="A12" t="s">
        <v>45</v>
      </c>
      <c r="B12" t="s">
        <v>11</v>
      </c>
      <c r="C12" t="s">
        <v>46</v>
      </c>
      <c r="D12" t="s">
        <v>29</v>
      </c>
      <c r="E12" t="s">
        <v>30</v>
      </c>
      <c r="F12">
        <v>1</v>
      </c>
      <c r="G12" s="2">
        <v>9</v>
      </c>
      <c r="H12" t="s">
        <v>15</v>
      </c>
      <c r="I12" t="s">
        <v>16</v>
      </c>
      <c r="J12" s="2">
        <v>9</v>
      </c>
    </row>
    <row r="13" spans="1:10">
      <c r="A13" t="s">
        <v>47</v>
      </c>
      <c r="B13" t="s">
        <v>11</v>
      </c>
      <c r="C13" t="s">
        <v>48</v>
      </c>
      <c r="D13" t="s">
        <v>21</v>
      </c>
      <c r="E13" t="s">
        <v>14</v>
      </c>
      <c r="F13">
        <v>3</v>
      </c>
      <c r="G13" s="2">
        <v>12</v>
      </c>
      <c r="H13" t="s">
        <v>26</v>
      </c>
      <c r="I13" t="s">
        <v>44</v>
      </c>
      <c r="J13" s="2">
        <v>36</v>
      </c>
    </row>
    <row r="14" spans="1:10">
      <c r="A14" t="s">
        <v>49</v>
      </c>
      <c r="B14" t="s">
        <v>11</v>
      </c>
      <c r="C14" t="s">
        <v>50</v>
      </c>
      <c r="D14" t="s">
        <v>51</v>
      </c>
      <c r="E14" t="s">
        <v>14</v>
      </c>
      <c r="F14">
        <v>2</v>
      </c>
      <c r="G14" s="2">
        <v>7</v>
      </c>
      <c r="H14" t="s">
        <v>26</v>
      </c>
      <c r="I14" t="s">
        <v>44</v>
      </c>
      <c r="J14" s="2">
        <v>14</v>
      </c>
    </row>
    <row r="15" spans="1:10">
      <c r="A15" t="s">
        <v>52</v>
      </c>
      <c r="B15" t="s">
        <v>11</v>
      </c>
      <c r="C15" t="s">
        <v>53</v>
      </c>
      <c r="D15" t="s">
        <v>54</v>
      </c>
      <c r="E15" t="s">
        <v>30</v>
      </c>
      <c r="F15">
        <v>3</v>
      </c>
      <c r="G15" s="2">
        <v>8</v>
      </c>
      <c r="H15" t="s">
        <v>15</v>
      </c>
      <c r="I15" t="s">
        <v>16</v>
      </c>
      <c r="J15" s="2">
        <v>24</v>
      </c>
    </row>
    <row r="16" spans="1:10">
      <c r="A16" t="s">
        <v>55</v>
      </c>
      <c r="B16" t="s">
        <v>56</v>
      </c>
      <c r="C16" t="s">
        <v>57</v>
      </c>
      <c r="D16" t="s">
        <v>38</v>
      </c>
      <c r="E16" t="s">
        <v>14</v>
      </c>
      <c r="F16">
        <v>1</v>
      </c>
      <c r="G16" s="2">
        <v>9</v>
      </c>
      <c r="H16" t="s">
        <v>15</v>
      </c>
      <c r="I16" t="s">
        <v>44</v>
      </c>
      <c r="J16" s="2">
        <v>9</v>
      </c>
    </row>
    <row r="17" spans="1:10">
      <c r="A17" t="s">
        <v>58</v>
      </c>
      <c r="B17" t="s">
        <v>56</v>
      </c>
      <c r="C17" t="s">
        <v>59</v>
      </c>
      <c r="D17" t="s">
        <v>13</v>
      </c>
      <c r="E17" t="s">
        <v>14</v>
      </c>
      <c r="F17">
        <v>1</v>
      </c>
      <c r="G17" s="2">
        <v>15</v>
      </c>
      <c r="H17" t="s">
        <v>15</v>
      </c>
      <c r="I17" t="s">
        <v>16</v>
      </c>
      <c r="J17" s="2">
        <v>15</v>
      </c>
    </row>
    <row r="18" spans="1:10">
      <c r="A18" t="s">
        <v>60</v>
      </c>
      <c r="B18" t="s">
        <v>56</v>
      </c>
      <c r="C18" t="s">
        <v>61</v>
      </c>
      <c r="D18" t="s">
        <v>62</v>
      </c>
      <c r="E18" t="s">
        <v>63</v>
      </c>
      <c r="F18">
        <v>3</v>
      </c>
      <c r="G18" s="2">
        <v>10</v>
      </c>
      <c r="H18" t="s">
        <v>26</v>
      </c>
      <c r="I18" t="s">
        <v>16</v>
      </c>
      <c r="J18" s="2">
        <v>30</v>
      </c>
    </row>
    <row r="19" spans="1:10">
      <c r="A19" t="s">
        <v>64</v>
      </c>
      <c r="B19" t="s">
        <v>56</v>
      </c>
      <c r="C19" t="s">
        <v>65</v>
      </c>
      <c r="D19" t="s">
        <v>29</v>
      </c>
      <c r="E19" t="s">
        <v>30</v>
      </c>
      <c r="F19">
        <v>1</v>
      </c>
      <c r="G19" s="2">
        <v>9</v>
      </c>
      <c r="H19" t="s">
        <v>41</v>
      </c>
      <c r="I19" t="s">
        <v>16</v>
      </c>
      <c r="J19" s="2">
        <v>9</v>
      </c>
    </row>
    <row r="20" spans="1:10">
      <c r="A20" t="s">
        <v>66</v>
      </c>
      <c r="B20" t="s">
        <v>56</v>
      </c>
      <c r="C20" t="s">
        <v>67</v>
      </c>
      <c r="D20" t="s">
        <v>35</v>
      </c>
      <c r="E20" t="s">
        <v>14</v>
      </c>
      <c r="F20">
        <v>1</v>
      </c>
      <c r="G20" s="2">
        <v>13</v>
      </c>
      <c r="H20" t="s">
        <v>41</v>
      </c>
      <c r="I20" t="s">
        <v>16</v>
      </c>
      <c r="J20" s="2">
        <v>13</v>
      </c>
    </row>
    <row r="21" spans="1:10">
      <c r="A21" t="s">
        <v>68</v>
      </c>
      <c r="B21" t="s">
        <v>56</v>
      </c>
      <c r="C21" t="s">
        <v>69</v>
      </c>
      <c r="D21" t="s">
        <v>24</v>
      </c>
      <c r="E21" t="s">
        <v>25</v>
      </c>
      <c r="F21">
        <v>2</v>
      </c>
      <c r="G21" s="2">
        <v>14</v>
      </c>
      <c r="H21" t="s">
        <v>26</v>
      </c>
      <c r="I21" t="s">
        <v>44</v>
      </c>
      <c r="J21" s="2">
        <v>28</v>
      </c>
    </row>
    <row r="22" spans="1:10">
      <c r="A22" t="s">
        <v>70</v>
      </c>
      <c r="B22" t="s">
        <v>56</v>
      </c>
      <c r="C22" t="s">
        <v>71</v>
      </c>
      <c r="D22" t="s">
        <v>72</v>
      </c>
      <c r="E22" t="s">
        <v>14</v>
      </c>
      <c r="F22">
        <v>1</v>
      </c>
      <c r="G22" s="2">
        <v>14</v>
      </c>
      <c r="H22" t="s">
        <v>41</v>
      </c>
      <c r="I22" t="s">
        <v>44</v>
      </c>
      <c r="J22" s="2">
        <v>14</v>
      </c>
    </row>
    <row r="23" spans="1:10">
      <c r="A23" t="s">
        <v>73</v>
      </c>
      <c r="B23" t="s">
        <v>56</v>
      </c>
      <c r="C23" t="s">
        <v>74</v>
      </c>
      <c r="D23" t="s">
        <v>72</v>
      </c>
      <c r="E23" t="s">
        <v>14</v>
      </c>
      <c r="F23">
        <v>2</v>
      </c>
      <c r="G23" s="2">
        <v>14</v>
      </c>
      <c r="H23" t="s">
        <v>15</v>
      </c>
      <c r="I23" t="s">
        <v>16</v>
      </c>
      <c r="J23" s="2">
        <v>28</v>
      </c>
    </row>
    <row r="24" spans="1:10">
      <c r="A24" t="s">
        <v>75</v>
      </c>
      <c r="B24" t="s">
        <v>56</v>
      </c>
      <c r="C24" t="s">
        <v>76</v>
      </c>
      <c r="D24" t="s">
        <v>24</v>
      </c>
      <c r="E24" t="s">
        <v>25</v>
      </c>
      <c r="F24">
        <v>1</v>
      </c>
      <c r="G24" s="2">
        <v>14</v>
      </c>
      <c r="H24" t="s">
        <v>41</v>
      </c>
      <c r="I24" t="s">
        <v>16</v>
      </c>
      <c r="J24" s="2">
        <v>14</v>
      </c>
    </row>
    <row r="25" spans="1:10">
      <c r="A25" t="s">
        <v>77</v>
      </c>
      <c r="B25" t="s">
        <v>56</v>
      </c>
      <c r="C25" t="s">
        <v>78</v>
      </c>
      <c r="D25" t="s">
        <v>13</v>
      </c>
      <c r="E25" t="s">
        <v>14</v>
      </c>
      <c r="F25">
        <v>2</v>
      </c>
      <c r="G25" s="2">
        <v>15</v>
      </c>
      <c r="H25" t="s">
        <v>26</v>
      </c>
      <c r="I25" t="s">
        <v>16</v>
      </c>
      <c r="J25" s="2">
        <v>30</v>
      </c>
    </row>
    <row r="26" spans="1:10">
      <c r="A26" t="s">
        <v>79</v>
      </c>
      <c r="B26" t="s">
        <v>56</v>
      </c>
      <c r="C26" t="s">
        <v>80</v>
      </c>
      <c r="D26" t="s">
        <v>51</v>
      </c>
      <c r="E26" t="s">
        <v>14</v>
      </c>
      <c r="F26">
        <v>2</v>
      </c>
      <c r="G26" s="2">
        <v>7</v>
      </c>
      <c r="H26" t="s">
        <v>26</v>
      </c>
      <c r="I26" t="s">
        <v>16</v>
      </c>
      <c r="J26" s="2">
        <v>14</v>
      </c>
    </row>
    <row r="27" spans="1:10">
      <c r="A27" t="s">
        <v>81</v>
      </c>
      <c r="B27" t="s">
        <v>56</v>
      </c>
      <c r="C27" t="s">
        <v>82</v>
      </c>
      <c r="D27" t="s">
        <v>29</v>
      </c>
      <c r="E27" t="s">
        <v>30</v>
      </c>
      <c r="F27">
        <v>1</v>
      </c>
      <c r="G27" s="2">
        <v>9</v>
      </c>
      <c r="H27" t="s">
        <v>15</v>
      </c>
      <c r="I27" t="s">
        <v>16</v>
      </c>
      <c r="J27" s="2">
        <v>9</v>
      </c>
    </row>
    <row r="28" spans="1:10">
      <c r="A28" t="s">
        <v>83</v>
      </c>
      <c r="B28" t="s">
        <v>56</v>
      </c>
      <c r="C28" t="s">
        <v>84</v>
      </c>
      <c r="D28" t="s">
        <v>38</v>
      </c>
      <c r="E28" t="s">
        <v>14</v>
      </c>
      <c r="F28">
        <v>1</v>
      </c>
      <c r="G28" s="2">
        <v>9</v>
      </c>
      <c r="H28" t="s">
        <v>26</v>
      </c>
      <c r="I28" t="s">
        <v>44</v>
      </c>
      <c r="J28" s="2">
        <v>9</v>
      </c>
    </row>
    <row r="29" spans="1:10">
      <c r="A29" t="s">
        <v>85</v>
      </c>
      <c r="B29" t="s">
        <v>56</v>
      </c>
      <c r="C29" t="s">
        <v>50</v>
      </c>
      <c r="D29" t="s">
        <v>51</v>
      </c>
      <c r="E29" t="s">
        <v>14</v>
      </c>
      <c r="F29">
        <v>1</v>
      </c>
      <c r="G29" s="2">
        <v>7</v>
      </c>
      <c r="H29" t="s">
        <v>26</v>
      </c>
      <c r="I29" t="s">
        <v>16</v>
      </c>
      <c r="J29" s="2">
        <v>7</v>
      </c>
    </row>
    <row r="30" spans="1:10">
      <c r="A30" t="s">
        <v>86</v>
      </c>
      <c r="B30" t="s">
        <v>87</v>
      </c>
      <c r="C30" t="s">
        <v>88</v>
      </c>
      <c r="D30" t="s">
        <v>21</v>
      </c>
      <c r="E30" t="s">
        <v>14</v>
      </c>
      <c r="F30">
        <v>2</v>
      </c>
      <c r="G30" s="2">
        <v>12</v>
      </c>
      <c r="H30" t="s">
        <v>26</v>
      </c>
      <c r="I30" t="s">
        <v>16</v>
      </c>
      <c r="J30" s="2">
        <v>24</v>
      </c>
    </row>
    <row r="31" spans="1:10">
      <c r="A31" t="s">
        <v>89</v>
      </c>
      <c r="B31" t="s">
        <v>87</v>
      </c>
      <c r="C31" t="s">
        <v>90</v>
      </c>
      <c r="D31" t="s">
        <v>35</v>
      </c>
      <c r="E31" t="s">
        <v>14</v>
      </c>
      <c r="F31">
        <v>3</v>
      </c>
      <c r="G31" s="2">
        <v>13</v>
      </c>
      <c r="H31" t="s">
        <v>26</v>
      </c>
      <c r="I31" t="s">
        <v>44</v>
      </c>
      <c r="J31" s="2">
        <v>39</v>
      </c>
    </row>
    <row r="32" spans="1:10">
      <c r="A32" t="s">
        <v>91</v>
      </c>
      <c r="B32" t="s">
        <v>87</v>
      </c>
      <c r="C32" t="s">
        <v>92</v>
      </c>
      <c r="D32" t="s">
        <v>35</v>
      </c>
      <c r="E32" t="s">
        <v>14</v>
      </c>
      <c r="F32">
        <v>2</v>
      </c>
      <c r="G32" s="2">
        <v>13</v>
      </c>
      <c r="H32" t="s">
        <v>15</v>
      </c>
      <c r="I32" t="s">
        <v>44</v>
      </c>
      <c r="J32" s="2">
        <v>26</v>
      </c>
    </row>
    <row r="33" spans="1:10">
      <c r="A33" t="s">
        <v>93</v>
      </c>
      <c r="B33" t="s">
        <v>87</v>
      </c>
      <c r="C33" t="s">
        <v>94</v>
      </c>
      <c r="D33" t="s">
        <v>35</v>
      </c>
      <c r="E33" t="s">
        <v>14</v>
      </c>
      <c r="F33">
        <v>1</v>
      </c>
      <c r="G33" s="2">
        <v>13</v>
      </c>
      <c r="H33" t="s">
        <v>15</v>
      </c>
      <c r="I33" t="s">
        <v>44</v>
      </c>
      <c r="J33" s="2">
        <v>13</v>
      </c>
    </row>
    <row r="34" spans="1:10">
      <c r="A34" t="s">
        <v>95</v>
      </c>
      <c r="B34" t="s">
        <v>87</v>
      </c>
      <c r="C34" t="s">
        <v>96</v>
      </c>
      <c r="D34" t="s">
        <v>38</v>
      </c>
      <c r="E34" t="s">
        <v>14</v>
      </c>
      <c r="F34">
        <v>1</v>
      </c>
      <c r="G34" s="2">
        <v>9</v>
      </c>
      <c r="H34" t="s">
        <v>15</v>
      </c>
      <c r="I34" t="s">
        <v>44</v>
      </c>
      <c r="J34" s="2">
        <v>9</v>
      </c>
    </row>
    <row r="35" spans="1:10">
      <c r="A35" t="s">
        <v>97</v>
      </c>
      <c r="B35" t="s">
        <v>87</v>
      </c>
      <c r="C35" t="s">
        <v>98</v>
      </c>
      <c r="D35" t="s">
        <v>21</v>
      </c>
      <c r="E35" t="s">
        <v>14</v>
      </c>
      <c r="F35">
        <v>1</v>
      </c>
      <c r="G35" s="2">
        <v>12</v>
      </c>
      <c r="H35" t="s">
        <v>26</v>
      </c>
      <c r="I35" t="s">
        <v>16</v>
      </c>
      <c r="J35" s="2">
        <v>12</v>
      </c>
    </row>
    <row r="36" spans="1:10">
      <c r="A36" t="s">
        <v>99</v>
      </c>
      <c r="B36" t="s">
        <v>87</v>
      </c>
      <c r="C36" t="s">
        <v>100</v>
      </c>
      <c r="D36" t="s">
        <v>35</v>
      </c>
      <c r="E36" t="s">
        <v>14</v>
      </c>
      <c r="F36">
        <v>1</v>
      </c>
      <c r="G36" s="2">
        <v>13</v>
      </c>
      <c r="H36" t="s">
        <v>26</v>
      </c>
      <c r="I36" t="s">
        <v>16</v>
      </c>
      <c r="J36" s="2">
        <v>13</v>
      </c>
    </row>
    <row r="37" spans="1:10">
      <c r="A37" t="s">
        <v>101</v>
      </c>
      <c r="B37" t="s">
        <v>87</v>
      </c>
      <c r="C37" t="s">
        <v>102</v>
      </c>
      <c r="D37" t="s">
        <v>35</v>
      </c>
      <c r="E37" t="s">
        <v>14</v>
      </c>
      <c r="F37">
        <v>1</v>
      </c>
      <c r="G37" s="2">
        <v>13</v>
      </c>
      <c r="H37" t="s">
        <v>26</v>
      </c>
      <c r="I37" t="s">
        <v>16</v>
      </c>
      <c r="J37" s="2">
        <v>13</v>
      </c>
    </row>
    <row r="38" spans="1:10">
      <c r="A38" t="s">
        <v>103</v>
      </c>
      <c r="B38" t="s">
        <v>87</v>
      </c>
      <c r="C38" t="s">
        <v>104</v>
      </c>
      <c r="D38" t="s">
        <v>105</v>
      </c>
      <c r="E38" t="s">
        <v>25</v>
      </c>
      <c r="F38">
        <v>2</v>
      </c>
      <c r="G38" s="2">
        <v>12</v>
      </c>
      <c r="H38" t="s">
        <v>15</v>
      </c>
      <c r="I38" t="s">
        <v>44</v>
      </c>
      <c r="J38" s="2">
        <v>24</v>
      </c>
    </row>
    <row r="39" spans="1:10">
      <c r="A39" t="s">
        <v>106</v>
      </c>
      <c r="B39" t="s">
        <v>87</v>
      </c>
      <c r="C39" t="s">
        <v>107</v>
      </c>
      <c r="D39" t="s">
        <v>35</v>
      </c>
      <c r="E39" t="s">
        <v>14</v>
      </c>
      <c r="F39">
        <v>1</v>
      </c>
      <c r="G39" s="2">
        <v>13</v>
      </c>
      <c r="H39" t="s">
        <v>41</v>
      </c>
      <c r="I39" t="s">
        <v>16</v>
      </c>
      <c r="J39" s="2">
        <v>13</v>
      </c>
    </row>
    <row r="40" spans="1:10">
      <c r="A40" t="s">
        <v>108</v>
      </c>
      <c r="B40" t="s">
        <v>87</v>
      </c>
      <c r="C40" t="s">
        <v>109</v>
      </c>
      <c r="D40" t="s">
        <v>35</v>
      </c>
      <c r="E40" t="s">
        <v>14</v>
      </c>
      <c r="F40">
        <v>1</v>
      </c>
      <c r="G40" s="2">
        <v>13</v>
      </c>
      <c r="H40" t="s">
        <v>41</v>
      </c>
      <c r="I40" t="s">
        <v>44</v>
      </c>
      <c r="J40" s="2">
        <v>13</v>
      </c>
    </row>
    <row r="41" spans="1:10">
      <c r="A41" t="s">
        <v>110</v>
      </c>
      <c r="B41" t="s">
        <v>111</v>
      </c>
      <c r="C41" t="s">
        <v>112</v>
      </c>
      <c r="D41" t="s">
        <v>21</v>
      </c>
      <c r="E41" t="s">
        <v>14</v>
      </c>
      <c r="F41">
        <v>1</v>
      </c>
      <c r="G41" s="2">
        <v>12</v>
      </c>
      <c r="H41" t="s">
        <v>26</v>
      </c>
      <c r="I41" t="s">
        <v>44</v>
      </c>
      <c r="J41" s="2">
        <v>12</v>
      </c>
    </row>
    <row r="42" spans="1:10">
      <c r="A42" t="s">
        <v>113</v>
      </c>
      <c r="B42" t="s">
        <v>111</v>
      </c>
      <c r="C42" t="s">
        <v>114</v>
      </c>
      <c r="D42" t="s">
        <v>115</v>
      </c>
      <c r="E42" t="s">
        <v>63</v>
      </c>
      <c r="F42">
        <v>3</v>
      </c>
      <c r="G42" s="2">
        <v>16</v>
      </c>
      <c r="H42" t="s">
        <v>41</v>
      </c>
      <c r="I42" t="s">
        <v>44</v>
      </c>
      <c r="J42" s="2">
        <v>48</v>
      </c>
    </row>
    <row r="43" spans="1:10">
      <c r="A43" t="s">
        <v>116</v>
      </c>
      <c r="B43" t="s">
        <v>111</v>
      </c>
      <c r="C43" t="s">
        <v>117</v>
      </c>
      <c r="D43" t="s">
        <v>51</v>
      </c>
      <c r="E43" t="s">
        <v>14</v>
      </c>
      <c r="F43">
        <v>1</v>
      </c>
      <c r="G43" s="2">
        <v>7</v>
      </c>
      <c r="H43" t="s">
        <v>26</v>
      </c>
      <c r="I43" t="s">
        <v>44</v>
      </c>
      <c r="J43" s="2">
        <v>7</v>
      </c>
    </row>
    <row r="44" spans="1:10">
      <c r="A44" t="s">
        <v>118</v>
      </c>
      <c r="B44" t="s">
        <v>111</v>
      </c>
      <c r="C44" t="s">
        <v>119</v>
      </c>
      <c r="D44" t="s">
        <v>105</v>
      </c>
      <c r="E44" t="s">
        <v>25</v>
      </c>
      <c r="F44">
        <v>1</v>
      </c>
      <c r="G44" s="2">
        <v>12</v>
      </c>
      <c r="H44" t="s">
        <v>26</v>
      </c>
      <c r="I44" t="s">
        <v>44</v>
      </c>
      <c r="J44" s="2">
        <v>12</v>
      </c>
    </row>
    <row r="45" spans="1:10">
      <c r="A45" t="s">
        <v>120</v>
      </c>
      <c r="B45" t="s">
        <v>111</v>
      </c>
      <c r="C45" t="s">
        <v>121</v>
      </c>
      <c r="D45" t="s">
        <v>51</v>
      </c>
      <c r="E45" t="s">
        <v>14</v>
      </c>
      <c r="F45">
        <v>1</v>
      </c>
      <c r="G45" s="2">
        <v>7</v>
      </c>
      <c r="H45" t="s">
        <v>15</v>
      </c>
      <c r="I45" t="s">
        <v>44</v>
      </c>
      <c r="J45" s="2">
        <v>7</v>
      </c>
    </row>
    <row r="46" spans="1:10">
      <c r="A46" t="s">
        <v>122</v>
      </c>
      <c r="B46" t="s">
        <v>111</v>
      </c>
      <c r="C46" t="s">
        <v>123</v>
      </c>
      <c r="D46" t="s">
        <v>29</v>
      </c>
      <c r="E46" t="s">
        <v>30</v>
      </c>
      <c r="F46">
        <v>1</v>
      </c>
      <c r="G46" s="2">
        <v>9</v>
      </c>
      <c r="H46" t="s">
        <v>26</v>
      </c>
      <c r="I46" t="s">
        <v>44</v>
      </c>
      <c r="J46" s="2">
        <v>9</v>
      </c>
    </row>
    <row r="47" spans="1:10">
      <c r="A47" t="s">
        <v>124</v>
      </c>
      <c r="B47" t="s">
        <v>111</v>
      </c>
      <c r="C47" t="s">
        <v>125</v>
      </c>
      <c r="D47" t="s">
        <v>29</v>
      </c>
      <c r="E47" t="s">
        <v>30</v>
      </c>
      <c r="F47">
        <v>1</v>
      </c>
      <c r="G47" s="2">
        <v>9</v>
      </c>
      <c r="H47" t="s">
        <v>41</v>
      </c>
      <c r="I47" t="s">
        <v>44</v>
      </c>
      <c r="J47" s="2">
        <v>9</v>
      </c>
    </row>
    <row r="48" spans="1:10">
      <c r="A48" t="s">
        <v>126</v>
      </c>
      <c r="B48" t="s">
        <v>111</v>
      </c>
      <c r="C48" t="s">
        <v>127</v>
      </c>
      <c r="D48" t="s">
        <v>38</v>
      </c>
      <c r="E48" t="s">
        <v>14</v>
      </c>
      <c r="F48">
        <v>1</v>
      </c>
      <c r="G48" s="2">
        <v>9</v>
      </c>
      <c r="H48" t="s">
        <v>41</v>
      </c>
      <c r="I48" t="s">
        <v>16</v>
      </c>
      <c r="J48" s="2">
        <v>9</v>
      </c>
    </row>
    <row r="49" spans="1:10">
      <c r="A49" t="s">
        <v>128</v>
      </c>
      <c r="B49" t="s">
        <v>111</v>
      </c>
      <c r="C49" t="s">
        <v>129</v>
      </c>
      <c r="D49" t="s">
        <v>51</v>
      </c>
      <c r="E49" t="s">
        <v>14</v>
      </c>
      <c r="F49">
        <v>1</v>
      </c>
      <c r="G49" s="2">
        <v>7</v>
      </c>
      <c r="H49" t="s">
        <v>26</v>
      </c>
      <c r="I49" t="s">
        <v>16</v>
      </c>
      <c r="J49" s="2">
        <v>7</v>
      </c>
    </row>
    <row r="50" spans="1:10">
      <c r="A50" t="s">
        <v>130</v>
      </c>
      <c r="B50" t="s">
        <v>111</v>
      </c>
      <c r="C50" t="s">
        <v>131</v>
      </c>
      <c r="D50" t="s">
        <v>105</v>
      </c>
      <c r="E50" t="s">
        <v>25</v>
      </c>
      <c r="F50">
        <v>2</v>
      </c>
      <c r="G50" s="2">
        <v>12</v>
      </c>
      <c r="H50" t="s">
        <v>26</v>
      </c>
      <c r="I50" t="s">
        <v>44</v>
      </c>
      <c r="J50" s="2">
        <v>24</v>
      </c>
    </row>
    <row r="51" spans="1:10">
      <c r="A51" t="s">
        <v>132</v>
      </c>
      <c r="B51" t="s">
        <v>111</v>
      </c>
      <c r="C51" t="s">
        <v>133</v>
      </c>
      <c r="D51" t="s">
        <v>21</v>
      </c>
      <c r="E51" t="s">
        <v>14</v>
      </c>
      <c r="F51">
        <v>1</v>
      </c>
      <c r="G51" s="2">
        <v>12</v>
      </c>
      <c r="H51" t="s">
        <v>15</v>
      </c>
      <c r="I51" t="s">
        <v>16</v>
      </c>
      <c r="J51" s="2">
        <v>12</v>
      </c>
    </row>
    <row r="52" spans="1:10">
      <c r="A52" t="s">
        <v>134</v>
      </c>
      <c r="B52" t="s">
        <v>111</v>
      </c>
      <c r="C52" t="s">
        <v>135</v>
      </c>
      <c r="D52" t="s">
        <v>51</v>
      </c>
      <c r="E52" t="s">
        <v>14</v>
      </c>
      <c r="F52">
        <v>1</v>
      </c>
      <c r="G52" s="2">
        <v>7</v>
      </c>
      <c r="H52" t="s">
        <v>15</v>
      </c>
      <c r="I52" t="s">
        <v>16</v>
      </c>
      <c r="J52" s="2">
        <v>7</v>
      </c>
    </row>
    <row r="53" spans="1:10">
      <c r="A53" t="s">
        <v>136</v>
      </c>
      <c r="B53" t="s">
        <v>111</v>
      </c>
      <c r="C53" t="s">
        <v>137</v>
      </c>
      <c r="D53" t="s">
        <v>21</v>
      </c>
      <c r="E53" t="s">
        <v>14</v>
      </c>
      <c r="F53">
        <v>1</v>
      </c>
      <c r="G53" s="2">
        <v>12</v>
      </c>
      <c r="H53" t="s">
        <v>41</v>
      </c>
      <c r="I53" t="s">
        <v>44</v>
      </c>
      <c r="J53" s="2">
        <v>12</v>
      </c>
    </row>
    <row r="54" spans="1:10">
      <c r="A54" t="s">
        <v>138</v>
      </c>
      <c r="B54" t="s">
        <v>111</v>
      </c>
      <c r="C54" t="s">
        <v>139</v>
      </c>
      <c r="D54" t="s">
        <v>13</v>
      </c>
      <c r="E54" t="s">
        <v>14</v>
      </c>
      <c r="F54">
        <v>1</v>
      </c>
      <c r="G54" s="2">
        <v>15</v>
      </c>
      <c r="H54" t="s">
        <v>15</v>
      </c>
      <c r="I54" t="s">
        <v>16</v>
      </c>
      <c r="J54" s="2">
        <v>15</v>
      </c>
    </row>
    <row r="55" spans="1:10">
      <c r="A55" t="s">
        <v>140</v>
      </c>
      <c r="B55" t="s">
        <v>141</v>
      </c>
      <c r="C55" t="s">
        <v>142</v>
      </c>
      <c r="D55" t="s">
        <v>13</v>
      </c>
      <c r="E55" t="s">
        <v>14</v>
      </c>
      <c r="F55">
        <v>2</v>
      </c>
      <c r="G55" s="2">
        <v>15</v>
      </c>
      <c r="H55" t="s">
        <v>26</v>
      </c>
      <c r="I55" t="s">
        <v>16</v>
      </c>
      <c r="J55" s="2">
        <v>30</v>
      </c>
    </row>
    <row r="56" spans="1:10">
      <c r="A56" t="s">
        <v>143</v>
      </c>
      <c r="B56" t="s">
        <v>141</v>
      </c>
      <c r="C56" t="s">
        <v>144</v>
      </c>
      <c r="D56" t="s">
        <v>35</v>
      </c>
      <c r="E56" t="s">
        <v>14</v>
      </c>
      <c r="F56">
        <v>2</v>
      </c>
      <c r="G56" s="2">
        <v>13</v>
      </c>
      <c r="H56" t="s">
        <v>15</v>
      </c>
      <c r="I56" t="s">
        <v>16</v>
      </c>
      <c r="J56" s="2">
        <v>26</v>
      </c>
    </row>
    <row r="57" spans="1:10">
      <c r="A57" t="s">
        <v>145</v>
      </c>
      <c r="B57" t="s">
        <v>141</v>
      </c>
      <c r="C57" t="s">
        <v>146</v>
      </c>
      <c r="D57" t="s">
        <v>147</v>
      </c>
      <c r="E57" t="s">
        <v>30</v>
      </c>
      <c r="F57">
        <v>1</v>
      </c>
      <c r="G57" s="2">
        <v>8</v>
      </c>
      <c r="H57" t="s">
        <v>26</v>
      </c>
      <c r="I57" t="s">
        <v>44</v>
      </c>
      <c r="J57" s="2">
        <v>8</v>
      </c>
    </row>
    <row r="58" spans="1:10">
      <c r="A58" t="s">
        <v>148</v>
      </c>
      <c r="B58" t="s">
        <v>141</v>
      </c>
      <c r="C58" t="s">
        <v>149</v>
      </c>
      <c r="D58" t="s">
        <v>29</v>
      </c>
      <c r="E58" t="s">
        <v>30</v>
      </c>
      <c r="F58">
        <v>1</v>
      </c>
      <c r="G58" s="2">
        <v>9</v>
      </c>
      <c r="H58" t="s">
        <v>26</v>
      </c>
      <c r="I58" t="s">
        <v>16</v>
      </c>
      <c r="J58" s="2">
        <v>9</v>
      </c>
    </row>
    <row r="59" spans="1:10">
      <c r="A59" t="s">
        <v>150</v>
      </c>
      <c r="B59" t="s">
        <v>141</v>
      </c>
      <c r="C59" t="s">
        <v>151</v>
      </c>
      <c r="D59" t="s">
        <v>24</v>
      </c>
      <c r="E59" t="s">
        <v>25</v>
      </c>
      <c r="F59">
        <v>2</v>
      </c>
      <c r="G59" s="2">
        <v>14</v>
      </c>
      <c r="H59" t="s">
        <v>26</v>
      </c>
      <c r="I59" t="s">
        <v>16</v>
      </c>
      <c r="J59" s="2">
        <v>28</v>
      </c>
    </row>
    <row r="60" spans="1:10">
      <c r="A60" t="s">
        <v>152</v>
      </c>
      <c r="B60" t="s">
        <v>141</v>
      </c>
      <c r="C60" t="s">
        <v>153</v>
      </c>
      <c r="D60" t="s">
        <v>38</v>
      </c>
      <c r="E60" t="s">
        <v>14</v>
      </c>
      <c r="F60">
        <v>1</v>
      </c>
      <c r="G60" s="2">
        <v>9</v>
      </c>
      <c r="H60" t="s">
        <v>15</v>
      </c>
      <c r="I60" t="s">
        <v>16</v>
      </c>
      <c r="J60" s="2">
        <v>9</v>
      </c>
    </row>
    <row r="61" spans="1:10">
      <c r="A61" t="s">
        <v>154</v>
      </c>
      <c r="B61" t="s">
        <v>141</v>
      </c>
      <c r="C61" t="s">
        <v>155</v>
      </c>
      <c r="D61" t="s">
        <v>72</v>
      </c>
      <c r="E61" t="s">
        <v>14</v>
      </c>
      <c r="F61">
        <v>2</v>
      </c>
      <c r="G61" s="2">
        <v>14</v>
      </c>
      <c r="H61" t="s">
        <v>15</v>
      </c>
      <c r="I61" t="s">
        <v>16</v>
      </c>
      <c r="J61" s="2">
        <v>28</v>
      </c>
    </row>
    <row r="62" spans="1:10">
      <c r="A62" t="s">
        <v>156</v>
      </c>
      <c r="B62" t="s">
        <v>141</v>
      </c>
      <c r="C62" t="s">
        <v>157</v>
      </c>
      <c r="D62" t="s">
        <v>72</v>
      </c>
      <c r="E62" t="s">
        <v>14</v>
      </c>
      <c r="F62">
        <v>1</v>
      </c>
      <c r="G62" s="2">
        <v>14</v>
      </c>
      <c r="H62" t="s">
        <v>26</v>
      </c>
      <c r="I62" t="s">
        <v>16</v>
      </c>
      <c r="J62" s="2">
        <v>14</v>
      </c>
    </row>
    <row r="63" spans="1:10">
      <c r="A63" t="s">
        <v>158</v>
      </c>
      <c r="B63" t="s">
        <v>141</v>
      </c>
      <c r="C63" t="s">
        <v>159</v>
      </c>
      <c r="D63" t="s">
        <v>62</v>
      </c>
      <c r="E63" t="s">
        <v>63</v>
      </c>
      <c r="F63">
        <v>1</v>
      </c>
      <c r="G63" s="2">
        <v>10</v>
      </c>
      <c r="H63" t="s">
        <v>15</v>
      </c>
      <c r="I63" t="s">
        <v>16</v>
      </c>
      <c r="J63" s="2">
        <v>10</v>
      </c>
    </row>
    <row r="64" spans="1:10">
      <c r="A64" t="s">
        <v>160</v>
      </c>
      <c r="B64" t="s">
        <v>141</v>
      </c>
      <c r="C64" t="s">
        <v>161</v>
      </c>
      <c r="D64" t="s">
        <v>21</v>
      </c>
      <c r="E64" t="s">
        <v>14</v>
      </c>
      <c r="F64">
        <v>1</v>
      </c>
      <c r="G64" s="2">
        <v>12</v>
      </c>
      <c r="H64" t="s">
        <v>26</v>
      </c>
      <c r="I64" t="s">
        <v>16</v>
      </c>
      <c r="J64" s="2">
        <v>12</v>
      </c>
    </row>
    <row r="65" spans="1:10">
      <c r="A65" t="s">
        <v>162</v>
      </c>
      <c r="B65" t="s">
        <v>141</v>
      </c>
      <c r="C65" t="s">
        <v>163</v>
      </c>
      <c r="D65" t="s">
        <v>21</v>
      </c>
      <c r="E65" t="s">
        <v>14</v>
      </c>
      <c r="F65">
        <v>1</v>
      </c>
      <c r="G65" s="2">
        <v>12</v>
      </c>
      <c r="H65" t="s">
        <v>26</v>
      </c>
      <c r="I65" t="s">
        <v>44</v>
      </c>
      <c r="J65" s="2">
        <v>12</v>
      </c>
    </row>
    <row r="66" spans="1:10">
      <c r="A66" t="s">
        <v>164</v>
      </c>
      <c r="B66" t="s">
        <v>141</v>
      </c>
      <c r="C66" t="s">
        <v>165</v>
      </c>
      <c r="D66" t="s">
        <v>51</v>
      </c>
      <c r="E66" t="s">
        <v>14</v>
      </c>
      <c r="F66">
        <v>1</v>
      </c>
      <c r="G66" s="2">
        <v>7</v>
      </c>
      <c r="H66" t="s">
        <v>15</v>
      </c>
      <c r="I66" t="s">
        <v>44</v>
      </c>
      <c r="J66" s="2">
        <v>7</v>
      </c>
    </row>
    <row r="67" spans="1:10">
      <c r="A67" t="s">
        <v>166</v>
      </c>
      <c r="B67" t="s">
        <v>167</v>
      </c>
      <c r="C67" t="s">
        <v>168</v>
      </c>
      <c r="D67" t="s">
        <v>35</v>
      </c>
      <c r="E67" t="s">
        <v>14</v>
      </c>
      <c r="F67">
        <v>1</v>
      </c>
      <c r="G67" s="2">
        <v>13</v>
      </c>
      <c r="H67" t="s">
        <v>26</v>
      </c>
      <c r="I67" t="s">
        <v>16</v>
      </c>
      <c r="J67" s="2">
        <v>13</v>
      </c>
    </row>
    <row r="68" spans="1:10">
      <c r="A68" t="s">
        <v>169</v>
      </c>
      <c r="B68" t="s">
        <v>167</v>
      </c>
      <c r="C68" t="s">
        <v>170</v>
      </c>
      <c r="D68" t="s">
        <v>35</v>
      </c>
      <c r="E68" t="s">
        <v>14</v>
      </c>
      <c r="F68">
        <v>1</v>
      </c>
      <c r="G68" s="2">
        <v>13</v>
      </c>
      <c r="H68" t="s">
        <v>15</v>
      </c>
      <c r="I68" t="s">
        <v>16</v>
      </c>
      <c r="J68" s="2">
        <v>13</v>
      </c>
    </row>
    <row r="69" spans="1:10">
      <c r="A69" t="s">
        <v>171</v>
      </c>
      <c r="B69" t="s">
        <v>167</v>
      </c>
      <c r="C69" t="s">
        <v>172</v>
      </c>
      <c r="D69" t="s">
        <v>147</v>
      </c>
      <c r="E69" t="s">
        <v>14</v>
      </c>
      <c r="F69">
        <v>1</v>
      </c>
      <c r="G69" s="2">
        <v>13</v>
      </c>
      <c r="H69" t="s">
        <v>15</v>
      </c>
      <c r="I69" t="s">
        <v>16</v>
      </c>
      <c r="J69" s="2">
        <v>13</v>
      </c>
    </row>
    <row r="70" spans="1:10">
      <c r="A70" t="s">
        <v>173</v>
      </c>
      <c r="B70" t="s">
        <v>167</v>
      </c>
      <c r="C70" t="s">
        <v>174</v>
      </c>
      <c r="D70" t="s">
        <v>72</v>
      </c>
      <c r="E70" t="s">
        <v>14</v>
      </c>
      <c r="F70">
        <v>2</v>
      </c>
      <c r="G70" s="2">
        <v>14</v>
      </c>
      <c r="H70" t="s">
        <v>26</v>
      </c>
      <c r="I70" t="s">
        <v>16</v>
      </c>
      <c r="J70" s="2">
        <v>28</v>
      </c>
    </row>
    <row r="71" spans="1:10">
      <c r="A71" t="s">
        <v>175</v>
      </c>
      <c r="B71" t="s">
        <v>167</v>
      </c>
      <c r="C71" t="s">
        <v>176</v>
      </c>
      <c r="D71" t="s">
        <v>115</v>
      </c>
      <c r="E71" t="s">
        <v>63</v>
      </c>
      <c r="F71">
        <v>1</v>
      </c>
      <c r="G71" s="2">
        <v>16</v>
      </c>
      <c r="H71" t="s">
        <v>41</v>
      </c>
      <c r="I71" t="s">
        <v>16</v>
      </c>
      <c r="J71" s="2">
        <v>16</v>
      </c>
    </row>
    <row r="72" spans="1:10">
      <c r="A72" t="s">
        <v>177</v>
      </c>
      <c r="B72" t="s">
        <v>167</v>
      </c>
      <c r="C72" t="s">
        <v>178</v>
      </c>
      <c r="D72" t="s">
        <v>21</v>
      </c>
      <c r="E72" t="s">
        <v>14</v>
      </c>
      <c r="F72">
        <v>3</v>
      </c>
      <c r="G72" s="2">
        <v>12</v>
      </c>
      <c r="H72" t="s">
        <v>26</v>
      </c>
      <c r="I72" t="s">
        <v>16</v>
      </c>
      <c r="J72" s="2">
        <v>36</v>
      </c>
    </row>
    <row r="73" spans="1:10">
      <c r="A73" t="s">
        <v>179</v>
      </c>
      <c r="B73" t="s">
        <v>167</v>
      </c>
      <c r="C73" t="s">
        <v>180</v>
      </c>
      <c r="D73" t="s">
        <v>21</v>
      </c>
      <c r="E73" t="s">
        <v>14</v>
      </c>
      <c r="F73">
        <v>1</v>
      </c>
      <c r="G73" s="2">
        <v>12</v>
      </c>
      <c r="H73" t="s">
        <v>15</v>
      </c>
      <c r="I73" t="s">
        <v>16</v>
      </c>
      <c r="J73" s="2">
        <v>12</v>
      </c>
    </row>
    <row r="74" spans="1:10">
      <c r="A74" t="s">
        <v>181</v>
      </c>
      <c r="B74" t="s">
        <v>167</v>
      </c>
      <c r="C74" t="s">
        <v>182</v>
      </c>
      <c r="D74" t="s">
        <v>21</v>
      </c>
      <c r="E74" t="s">
        <v>14</v>
      </c>
      <c r="F74">
        <v>1</v>
      </c>
      <c r="G74" s="2">
        <v>12</v>
      </c>
      <c r="H74" t="s">
        <v>15</v>
      </c>
      <c r="I74" t="s">
        <v>16</v>
      </c>
      <c r="J74" s="2">
        <v>12</v>
      </c>
    </row>
    <row r="75" spans="1:10">
      <c r="A75" t="s">
        <v>183</v>
      </c>
      <c r="B75" t="s">
        <v>167</v>
      </c>
      <c r="C75" t="s">
        <v>125</v>
      </c>
      <c r="D75" t="s">
        <v>72</v>
      </c>
      <c r="E75" t="s">
        <v>14</v>
      </c>
      <c r="F75">
        <v>1</v>
      </c>
      <c r="G75" s="2">
        <v>14</v>
      </c>
      <c r="H75" t="s">
        <v>41</v>
      </c>
      <c r="I75" t="s">
        <v>44</v>
      </c>
      <c r="J75" s="2">
        <v>14</v>
      </c>
    </row>
    <row r="76" spans="1:10">
      <c r="A76" t="s">
        <v>184</v>
      </c>
      <c r="B76" t="s">
        <v>167</v>
      </c>
      <c r="C76" t="s">
        <v>185</v>
      </c>
      <c r="D76" t="s">
        <v>21</v>
      </c>
      <c r="E76" t="s">
        <v>14</v>
      </c>
      <c r="F76">
        <v>1</v>
      </c>
      <c r="G76" s="2">
        <v>12</v>
      </c>
      <c r="H76" t="s">
        <v>41</v>
      </c>
      <c r="I76" t="s">
        <v>44</v>
      </c>
      <c r="J76" s="2">
        <v>12</v>
      </c>
    </row>
    <row r="77" spans="1:10">
      <c r="A77" t="s">
        <v>186</v>
      </c>
      <c r="B77" t="s">
        <v>167</v>
      </c>
      <c r="C77" t="s">
        <v>74</v>
      </c>
      <c r="D77" t="s">
        <v>51</v>
      </c>
      <c r="E77" t="s">
        <v>14</v>
      </c>
      <c r="F77">
        <v>3</v>
      </c>
      <c r="G77" s="2">
        <v>7</v>
      </c>
      <c r="H77" t="s">
        <v>26</v>
      </c>
      <c r="I77" t="s">
        <v>44</v>
      </c>
      <c r="J77" s="2">
        <v>21</v>
      </c>
    </row>
    <row r="78" spans="1:10">
      <c r="A78" t="s">
        <v>187</v>
      </c>
      <c r="B78" t="s">
        <v>167</v>
      </c>
      <c r="C78" t="s">
        <v>188</v>
      </c>
      <c r="D78" t="s">
        <v>29</v>
      </c>
      <c r="E78" t="s">
        <v>30</v>
      </c>
      <c r="F78">
        <v>1</v>
      </c>
      <c r="G78" s="2">
        <v>9</v>
      </c>
      <c r="H78" t="s">
        <v>41</v>
      </c>
      <c r="I78" t="s">
        <v>44</v>
      </c>
      <c r="J78" s="2">
        <v>9</v>
      </c>
    </row>
    <row r="79" spans="1:10">
      <c r="A79" t="s">
        <v>189</v>
      </c>
      <c r="B79" t="s">
        <v>167</v>
      </c>
      <c r="C79" t="s">
        <v>190</v>
      </c>
      <c r="D79" t="s">
        <v>38</v>
      </c>
      <c r="E79" t="s">
        <v>14</v>
      </c>
      <c r="F79">
        <v>1</v>
      </c>
      <c r="G79" s="2">
        <v>9</v>
      </c>
      <c r="H79" t="s">
        <v>15</v>
      </c>
      <c r="I79" t="s">
        <v>44</v>
      </c>
      <c r="J79" s="2">
        <v>9</v>
      </c>
    </row>
    <row r="80" spans="1:10">
      <c r="A80" t="s">
        <v>191</v>
      </c>
      <c r="B80" t="s">
        <v>167</v>
      </c>
      <c r="C80" t="s">
        <v>192</v>
      </c>
      <c r="D80" t="s">
        <v>29</v>
      </c>
      <c r="E80" t="s">
        <v>30</v>
      </c>
      <c r="F80">
        <v>1</v>
      </c>
      <c r="G80" s="2">
        <v>9</v>
      </c>
      <c r="H80" t="s">
        <v>26</v>
      </c>
      <c r="I80" t="s">
        <v>16</v>
      </c>
      <c r="J80" s="2">
        <v>9</v>
      </c>
    </row>
    <row r="81" spans="1:10">
      <c r="A81" t="s">
        <v>193</v>
      </c>
      <c r="B81" t="s">
        <v>167</v>
      </c>
      <c r="C81" t="s">
        <v>194</v>
      </c>
      <c r="D81" t="s">
        <v>21</v>
      </c>
      <c r="E81" t="s">
        <v>14</v>
      </c>
      <c r="F81">
        <v>1</v>
      </c>
      <c r="G81" s="2">
        <v>12</v>
      </c>
      <c r="H81" t="s">
        <v>15</v>
      </c>
      <c r="I81" t="s">
        <v>44</v>
      </c>
      <c r="J81" s="2">
        <v>12</v>
      </c>
    </row>
    <row r="82" spans="1:10">
      <c r="A82" t="s">
        <v>195</v>
      </c>
      <c r="B82" t="s">
        <v>196</v>
      </c>
      <c r="C82" t="s">
        <v>197</v>
      </c>
      <c r="D82" t="s">
        <v>21</v>
      </c>
      <c r="E82" t="s">
        <v>14</v>
      </c>
      <c r="F82">
        <v>2</v>
      </c>
      <c r="G82" s="2">
        <v>12</v>
      </c>
      <c r="H82" t="s">
        <v>26</v>
      </c>
      <c r="I82" t="s">
        <v>16</v>
      </c>
      <c r="J82" s="2">
        <v>24</v>
      </c>
    </row>
    <row r="83" spans="1:10">
      <c r="A83" t="s">
        <v>198</v>
      </c>
      <c r="B83" t="s">
        <v>196</v>
      </c>
      <c r="C83" t="s">
        <v>199</v>
      </c>
      <c r="D83" t="s">
        <v>35</v>
      </c>
      <c r="E83" t="s">
        <v>14</v>
      </c>
      <c r="F83">
        <v>1</v>
      </c>
      <c r="G83" s="2">
        <v>13</v>
      </c>
      <c r="H83" t="s">
        <v>15</v>
      </c>
      <c r="I83" t="s">
        <v>44</v>
      </c>
      <c r="J83" s="2">
        <v>13</v>
      </c>
    </row>
    <row r="84" spans="1:10">
      <c r="A84" t="s">
        <v>200</v>
      </c>
      <c r="B84" t="s">
        <v>196</v>
      </c>
      <c r="C84" t="s">
        <v>201</v>
      </c>
      <c r="D84" t="s">
        <v>54</v>
      </c>
      <c r="E84" t="s">
        <v>30</v>
      </c>
      <c r="F84">
        <v>1</v>
      </c>
      <c r="G84" s="2">
        <v>8</v>
      </c>
      <c r="H84" t="s">
        <v>26</v>
      </c>
      <c r="I84" t="s">
        <v>44</v>
      </c>
      <c r="J84" s="2">
        <v>8</v>
      </c>
    </row>
    <row r="85" spans="1:10">
      <c r="A85" t="s">
        <v>202</v>
      </c>
      <c r="B85" t="s">
        <v>196</v>
      </c>
      <c r="C85" t="s">
        <v>203</v>
      </c>
      <c r="D85" t="s">
        <v>51</v>
      </c>
      <c r="E85" t="s">
        <v>14</v>
      </c>
      <c r="F85">
        <v>2</v>
      </c>
      <c r="G85" s="2">
        <v>7</v>
      </c>
      <c r="H85" t="s">
        <v>41</v>
      </c>
      <c r="I85" t="s">
        <v>16</v>
      </c>
      <c r="J85" s="2">
        <v>14</v>
      </c>
    </row>
    <row r="86" spans="1:10">
      <c r="A86" t="s">
        <v>204</v>
      </c>
      <c r="B86" t="s">
        <v>196</v>
      </c>
      <c r="C86" t="s">
        <v>205</v>
      </c>
      <c r="D86" t="s">
        <v>72</v>
      </c>
      <c r="E86" t="s">
        <v>14</v>
      </c>
      <c r="F86">
        <v>3</v>
      </c>
      <c r="G86" s="2">
        <v>14</v>
      </c>
      <c r="H86" t="s">
        <v>15</v>
      </c>
      <c r="I86" t="s">
        <v>44</v>
      </c>
      <c r="J86" s="2">
        <v>42</v>
      </c>
    </row>
    <row r="87" spans="1:10">
      <c r="A87" t="s">
        <v>206</v>
      </c>
      <c r="B87" t="s">
        <v>196</v>
      </c>
      <c r="C87" t="s">
        <v>153</v>
      </c>
      <c r="D87" t="s">
        <v>54</v>
      </c>
      <c r="E87" t="s">
        <v>30</v>
      </c>
      <c r="F87">
        <v>1</v>
      </c>
      <c r="G87" s="2">
        <v>8</v>
      </c>
      <c r="H87" t="s">
        <v>26</v>
      </c>
      <c r="I87" t="s">
        <v>44</v>
      </c>
      <c r="J87" s="2">
        <v>8</v>
      </c>
    </row>
    <row r="88" spans="1:10">
      <c r="A88" t="s">
        <v>207</v>
      </c>
      <c r="B88" t="s">
        <v>196</v>
      </c>
      <c r="C88" t="s">
        <v>208</v>
      </c>
      <c r="D88" t="s">
        <v>38</v>
      </c>
      <c r="E88" t="s">
        <v>14</v>
      </c>
      <c r="F88">
        <v>2</v>
      </c>
      <c r="G88" s="2">
        <v>9</v>
      </c>
      <c r="H88" t="s">
        <v>15</v>
      </c>
      <c r="I88" t="s">
        <v>44</v>
      </c>
      <c r="J88" s="2">
        <v>18</v>
      </c>
    </row>
    <row r="89" spans="1:10">
      <c r="A89" t="s">
        <v>209</v>
      </c>
      <c r="B89" t="s">
        <v>196</v>
      </c>
      <c r="C89" t="s">
        <v>102</v>
      </c>
      <c r="D89" t="s">
        <v>35</v>
      </c>
      <c r="E89" t="s">
        <v>14</v>
      </c>
      <c r="F89">
        <v>2</v>
      </c>
      <c r="G89" s="2">
        <v>13</v>
      </c>
      <c r="H89" t="s">
        <v>26</v>
      </c>
      <c r="I89" t="s">
        <v>16</v>
      </c>
      <c r="J89" s="2">
        <v>26</v>
      </c>
    </row>
    <row r="90" spans="1:10">
      <c r="A90" t="s">
        <v>210</v>
      </c>
      <c r="B90" t="s">
        <v>196</v>
      </c>
      <c r="C90" t="s">
        <v>211</v>
      </c>
      <c r="D90" t="s">
        <v>13</v>
      </c>
      <c r="E90" t="s">
        <v>14</v>
      </c>
      <c r="F90">
        <v>2</v>
      </c>
      <c r="G90" s="2">
        <v>15</v>
      </c>
      <c r="H90" t="s">
        <v>41</v>
      </c>
      <c r="I90" t="s">
        <v>16</v>
      </c>
      <c r="J90" s="2">
        <v>30</v>
      </c>
    </row>
    <row r="91" spans="1:10">
      <c r="A91" t="s">
        <v>212</v>
      </c>
      <c r="B91" t="s">
        <v>213</v>
      </c>
      <c r="C91" t="s">
        <v>214</v>
      </c>
      <c r="D91" t="s">
        <v>21</v>
      </c>
      <c r="E91" t="s">
        <v>14</v>
      </c>
      <c r="F91">
        <v>2</v>
      </c>
      <c r="G91" s="2">
        <v>12</v>
      </c>
      <c r="H91" t="s">
        <v>26</v>
      </c>
      <c r="I91" t="s">
        <v>44</v>
      </c>
      <c r="J91" s="2">
        <v>24</v>
      </c>
    </row>
    <row r="92" spans="1:10">
      <c r="A92" t="s">
        <v>215</v>
      </c>
      <c r="B92" t="s">
        <v>213</v>
      </c>
      <c r="C92" t="s">
        <v>216</v>
      </c>
      <c r="D92" t="s">
        <v>13</v>
      </c>
      <c r="E92" t="s">
        <v>14</v>
      </c>
      <c r="F92">
        <v>1</v>
      </c>
      <c r="G92" s="2">
        <v>15</v>
      </c>
      <c r="H92" t="s">
        <v>26</v>
      </c>
      <c r="I92" t="s">
        <v>16</v>
      </c>
      <c r="J92" s="2">
        <v>15</v>
      </c>
    </row>
    <row r="93" spans="1:10">
      <c r="A93" t="s">
        <v>217</v>
      </c>
      <c r="B93" t="s">
        <v>213</v>
      </c>
      <c r="C93" t="s">
        <v>218</v>
      </c>
      <c r="D93" t="s">
        <v>54</v>
      </c>
      <c r="E93" t="s">
        <v>30</v>
      </c>
      <c r="F93">
        <v>1</v>
      </c>
      <c r="G93" s="2">
        <v>8</v>
      </c>
      <c r="H93" t="s">
        <v>26</v>
      </c>
      <c r="I93" t="s">
        <v>16</v>
      </c>
      <c r="J93" s="2">
        <v>8</v>
      </c>
    </row>
    <row r="94" spans="1:10">
      <c r="A94" t="s">
        <v>219</v>
      </c>
      <c r="B94" t="s">
        <v>213</v>
      </c>
      <c r="C94" t="s">
        <v>117</v>
      </c>
      <c r="D94" t="s">
        <v>54</v>
      </c>
      <c r="E94" t="s">
        <v>30</v>
      </c>
      <c r="F94">
        <v>1</v>
      </c>
      <c r="G94" s="2">
        <v>8</v>
      </c>
      <c r="H94" t="s">
        <v>41</v>
      </c>
      <c r="I94" t="s">
        <v>44</v>
      </c>
      <c r="J94" s="2">
        <v>8</v>
      </c>
    </row>
    <row r="95" spans="1:10">
      <c r="A95" t="s">
        <v>220</v>
      </c>
      <c r="B95" t="s">
        <v>213</v>
      </c>
      <c r="C95" t="s">
        <v>221</v>
      </c>
      <c r="D95" t="s">
        <v>35</v>
      </c>
      <c r="E95" t="s">
        <v>14</v>
      </c>
      <c r="F95">
        <v>2</v>
      </c>
      <c r="G95" s="2">
        <v>13</v>
      </c>
      <c r="H95" t="s">
        <v>26</v>
      </c>
      <c r="I95" t="s">
        <v>44</v>
      </c>
      <c r="J95" s="2">
        <v>26</v>
      </c>
    </row>
    <row r="96" spans="1:10">
      <c r="A96" t="s">
        <v>222</v>
      </c>
      <c r="B96" t="s">
        <v>213</v>
      </c>
      <c r="C96" t="s">
        <v>223</v>
      </c>
      <c r="D96" t="s">
        <v>29</v>
      </c>
      <c r="E96" t="s">
        <v>30</v>
      </c>
      <c r="F96">
        <v>1</v>
      </c>
      <c r="G96" s="2">
        <v>9</v>
      </c>
      <c r="H96" t="s">
        <v>15</v>
      </c>
      <c r="I96" t="s">
        <v>16</v>
      </c>
      <c r="J96" s="2">
        <v>9</v>
      </c>
    </row>
    <row r="97" spans="1:10">
      <c r="A97" t="s">
        <v>224</v>
      </c>
      <c r="B97" t="s">
        <v>213</v>
      </c>
      <c r="C97" t="s">
        <v>225</v>
      </c>
      <c r="D97" t="s">
        <v>115</v>
      </c>
      <c r="E97" t="s">
        <v>63</v>
      </c>
      <c r="F97">
        <v>2</v>
      </c>
      <c r="G97" s="2">
        <v>16</v>
      </c>
      <c r="H97" t="s">
        <v>26</v>
      </c>
      <c r="I97" t="s">
        <v>16</v>
      </c>
      <c r="J97" s="2">
        <v>32</v>
      </c>
    </row>
    <row r="98" spans="1:10">
      <c r="A98" t="s">
        <v>226</v>
      </c>
      <c r="B98" t="s">
        <v>213</v>
      </c>
      <c r="C98" t="s">
        <v>135</v>
      </c>
      <c r="D98" t="s">
        <v>51</v>
      </c>
      <c r="E98" t="s">
        <v>14</v>
      </c>
      <c r="F98">
        <v>1</v>
      </c>
      <c r="G98" s="2">
        <v>7</v>
      </c>
      <c r="H98" t="s">
        <v>15</v>
      </c>
      <c r="I98" t="s">
        <v>44</v>
      </c>
      <c r="J98" s="2">
        <v>7</v>
      </c>
    </row>
    <row r="99" spans="1:10">
      <c r="A99" t="s">
        <v>227</v>
      </c>
      <c r="B99" t="s">
        <v>213</v>
      </c>
      <c r="C99" t="s">
        <v>228</v>
      </c>
      <c r="D99" t="s">
        <v>29</v>
      </c>
      <c r="E99" t="s">
        <v>30</v>
      </c>
      <c r="F99">
        <v>1</v>
      </c>
      <c r="G99" s="2">
        <v>9</v>
      </c>
      <c r="H99" t="s">
        <v>41</v>
      </c>
      <c r="I99" t="s">
        <v>16</v>
      </c>
      <c r="J99" s="2">
        <v>9</v>
      </c>
    </row>
    <row r="100" spans="1:10">
      <c r="A100" t="s">
        <v>229</v>
      </c>
      <c r="B100" t="s">
        <v>230</v>
      </c>
      <c r="C100" t="s">
        <v>231</v>
      </c>
      <c r="D100" t="s">
        <v>35</v>
      </c>
      <c r="E100" t="s">
        <v>14</v>
      </c>
      <c r="F100">
        <v>1</v>
      </c>
      <c r="G100" s="2">
        <v>13</v>
      </c>
      <c r="H100" t="s">
        <v>26</v>
      </c>
      <c r="I100" t="s">
        <v>44</v>
      </c>
      <c r="J100" s="2">
        <v>13</v>
      </c>
    </row>
    <row r="101" spans="1:10">
      <c r="A101" t="s">
        <v>232</v>
      </c>
      <c r="B101" t="s">
        <v>230</v>
      </c>
      <c r="C101" t="s">
        <v>233</v>
      </c>
      <c r="D101" t="s">
        <v>21</v>
      </c>
      <c r="E101" t="s">
        <v>14</v>
      </c>
      <c r="F101">
        <v>2</v>
      </c>
      <c r="G101" s="2">
        <v>12</v>
      </c>
      <c r="H101" t="s">
        <v>41</v>
      </c>
      <c r="I101" t="s">
        <v>16</v>
      </c>
      <c r="J101" s="2">
        <v>24</v>
      </c>
    </row>
    <row r="102" spans="1:10">
      <c r="A102" t="s">
        <v>234</v>
      </c>
      <c r="B102" t="s">
        <v>230</v>
      </c>
      <c r="C102" t="s">
        <v>235</v>
      </c>
      <c r="D102" t="s">
        <v>35</v>
      </c>
      <c r="E102" t="s">
        <v>14</v>
      </c>
      <c r="F102">
        <v>1</v>
      </c>
      <c r="G102" s="2">
        <v>13</v>
      </c>
      <c r="H102" t="s">
        <v>41</v>
      </c>
      <c r="I102" t="s">
        <v>16</v>
      </c>
      <c r="J102" s="2">
        <v>13</v>
      </c>
    </row>
    <row r="103" spans="1:10">
      <c r="A103" t="s">
        <v>236</v>
      </c>
      <c r="B103" t="s">
        <v>230</v>
      </c>
      <c r="C103" t="s">
        <v>237</v>
      </c>
      <c r="D103" t="s">
        <v>105</v>
      </c>
      <c r="E103" t="s">
        <v>25</v>
      </c>
      <c r="F103">
        <v>1</v>
      </c>
      <c r="G103" s="2">
        <v>12</v>
      </c>
      <c r="H103" t="s">
        <v>26</v>
      </c>
      <c r="I103" t="s">
        <v>44</v>
      </c>
      <c r="J103" s="2">
        <v>12</v>
      </c>
    </row>
    <row r="104" spans="1:10">
      <c r="A104" t="s">
        <v>238</v>
      </c>
      <c r="B104" t="s">
        <v>230</v>
      </c>
      <c r="C104" t="s">
        <v>239</v>
      </c>
      <c r="D104" t="s">
        <v>51</v>
      </c>
      <c r="E104" t="s">
        <v>14</v>
      </c>
      <c r="F104">
        <v>1</v>
      </c>
      <c r="G104" s="2">
        <v>7</v>
      </c>
      <c r="H104" t="s">
        <v>41</v>
      </c>
      <c r="I104" t="s">
        <v>44</v>
      </c>
      <c r="J104" s="2">
        <v>7</v>
      </c>
    </row>
    <row r="105" spans="1:10">
      <c r="A105" t="s">
        <v>240</v>
      </c>
      <c r="B105" t="s">
        <v>230</v>
      </c>
      <c r="C105" t="s">
        <v>241</v>
      </c>
      <c r="D105" t="s">
        <v>72</v>
      </c>
      <c r="E105" t="s">
        <v>14</v>
      </c>
      <c r="F105">
        <v>1</v>
      </c>
      <c r="G105" s="2">
        <v>14</v>
      </c>
      <c r="H105" t="s">
        <v>15</v>
      </c>
      <c r="I105" t="s">
        <v>44</v>
      </c>
      <c r="J105" s="2">
        <v>14</v>
      </c>
    </row>
    <row r="106" spans="1:10">
      <c r="A106" t="s">
        <v>242</v>
      </c>
      <c r="B106" t="s">
        <v>230</v>
      </c>
      <c r="C106" t="s">
        <v>243</v>
      </c>
      <c r="D106" t="s">
        <v>35</v>
      </c>
      <c r="E106" t="s">
        <v>14</v>
      </c>
      <c r="F106">
        <v>2</v>
      </c>
      <c r="G106" s="2">
        <v>13</v>
      </c>
      <c r="H106" t="s">
        <v>41</v>
      </c>
      <c r="I106" t="s">
        <v>44</v>
      </c>
      <c r="J106" s="2">
        <v>26</v>
      </c>
    </row>
    <row r="107" spans="1:10">
      <c r="A107" t="s">
        <v>244</v>
      </c>
      <c r="B107" t="s">
        <v>230</v>
      </c>
      <c r="C107" t="s">
        <v>245</v>
      </c>
      <c r="D107" t="s">
        <v>24</v>
      </c>
      <c r="E107" t="s">
        <v>25</v>
      </c>
      <c r="F107">
        <v>2</v>
      </c>
      <c r="G107" s="2">
        <v>14</v>
      </c>
      <c r="H107" t="s">
        <v>26</v>
      </c>
      <c r="I107" t="s">
        <v>44</v>
      </c>
      <c r="J107" s="2">
        <v>28</v>
      </c>
    </row>
    <row r="108" spans="1:10">
      <c r="A108" t="s">
        <v>246</v>
      </c>
      <c r="B108" t="s">
        <v>230</v>
      </c>
      <c r="C108" t="s">
        <v>247</v>
      </c>
      <c r="D108" t="s">
        <v>29</v>
      </c>
      <c r="E108" t="s">
        <v>30</v>
      </c>
      <c r="F108">
        <v>2</v>
      </c>
      <c r="G108" s="2">
        <v>9</v>
      </c>
      <c r="H108" t="s">
        <v>15</v>
      </c>
      <c r="I108" t="s">
        <v>16</v>
      </c>
      <c r="J108" s="2">
        <v>18</v>
      </c>
    </row>
    <row r="109" spans="1:10">
      <c r="A109" t="s">
        <v>248</v>
      </c>
      <c r="B109" t="s">
        <v>249</v>
      </c>
      <c r="C109" t="s">
        <v>12</v>
      </c>
      <c r="D109" t="s">
        <v>35</v>
      </c>
      <c r="E109" t="s">
        <v>14</v>
      </c>
      <c r="F109">
        <v>2</v>
      </c>
      <c r="G109" s="2">
        <v>13</v>
      </c>
      <c r="H109" t="s">
        <v>15</v>
      </c>
      <c r="I109" t="s">
        <v>16</v>
      </c>
      <c r="J109" s="2">
        <v>26</v>
      </c>
    </row>
    <row r="110" spans="1:10">
      <c r="A110" t="s">
        <v>250</v>
      </c>
      <c r="B110" t="s">
        <v>249</v>
      </c>
      <c r="C110" t="s">
        <v>251</v>
      </c>
      <c r="D110" t="s">
        <v>62</v>
      </c>
      <c r="E110" t="s">
        <v>63</v>
      </c>
      <c r="F110">
        <v>1</v>
      </c>
      <c r="G110" s="2">
        <v>10</v>
      </c>
      <c r="H110" t="s">
        <v>41</v>
      </c>
      <c r="I110" t="s">
        <v>16</v>
      </c>
      <c r="J110" s="2">
        <v>10</v>
      </c>
    </row>
    <row r="111" spans="1:10">
      <c r="A111" t="s">
        <v>252</v>
      </c>
      <c r="B111" t="s">
        <v>249</v>
      </c>
      <c r="C111" t="s">
        <v>253</v>
      </c>
      <c r="D111" t="s">
        <v>115</v>
      </c>
      <c r="E111" t="s">
        <v>63</v>
      </c>
      <c r="F111">
        <v>3</v>
      </c>
      <c r="G111" s="2">
        <v>16</v>
      </c>
      <c r="H111" t="s">
        <v>41</v>
      </c>
      <c r="I111" t="s">
        <v>16</v>
      </c>
      <c r="J111" s="2">
        <v>48</v>
      </c>
    </row>
    <row r="112" spans="1:10">
      <c r="A112" t="s">
        <v>254</v>
      </c>
      <c r="B112" t="s">
        <v>249</v>
      </c>
      <c r="C112" t="s">
        <v>255</v>
      </c>
      <c r="D112" t="s">
        <v>24</v>
      </c>
      <c r="E112" t="s">
        <v>25</v>
      </c>
      <c r="F112">
        <v>2</v>
      </c>
      <c r="G112" s="2">
        <v>14</v>
      </c>
      <c r="H112" t="s">
        <v>41</v>
      </c>
      <c r="I112" t="s">
        <v>44</v>
      </c>
      <c r="J112" s="2">
        <v>28</v>
      </c>
    </row>
    <row r="113" spans="1:10">
      <c r="A113" t="s">
        <v>256</v>
      </c>
      <c r="B113" t="s">
        <v>249</v>
      </c>
      <c r="C113" t="s">
        <v>257</v>
      </c>
      <c r="D113" t="s">
        <v>13</v>
      </c>
      <c r="E113" t="s">
        <v>14</v>
      </c>
      <c r="F113">
        <v>1</v>
      </c>
      <c r="G113" s="2">
        <v>15</v>
      </c>
      <c r="H113" t="s">
        <v>15</v>
      </c>
      <c r="I113" t="s">
        <v>16</v>
      </c>
      <c r="J113" s="2">
        <v>15</v>
      </c>
    </row>
    <row r="114" spans="1:10">
      <c r="A114" t="s">
        <v>258</v>
      </c>
      <c r="B114" t="s">
        <v>249</v>
      </c>
      <c r="C114" t="s">
        <v>259</v>
      </c>
      <c r="D114" t="s">
        <v>54</v>
      </c>
      <c r="E114" t="s">
        <v>30</v>
      </c>
      <c r="F114">
        <v>1</v>
      </c>
      <c r="G114" s="2">
        <v>8</v>
      </c>
      <c r="H114" t="s">
        <v>41</v>
      </c>
      <c r="I114" t="s">
        <v>44</v>
      </c>
      <c r="J114" s="2">
        <v>8</v>
      </c>
    </row>
    <row r="115" spans="1:10">
      <c r="A115" t="s">
        <v>260</v>
      </c>
      <c r="B115" t="s">
        <v>249</v>
      </c>
      <c r="C115" t="s">
        <v>261</v>
      </c>
      <c r="D115" t="s">
        <v>29</v>
      </c>
      <c r="E115" t="s">
        <v>30</v>
      </c>
      <c r="F115">
        <v>1</v>
      </c>
      <c r="G115" s="2">
        <v>9</v>
      </c>
      <c r="H115" t="s">
        <v>15</v>
      </c>
      <c r="I115" t="s">
        <v>16</v>
      </c>
      <c r="J115" s="2">
        <v>9</v>
      </c>
    </row>
    <row r="116" spans="1:10">
      <c r="A116" t="s">
        <v>262</v>
      </c>
      <c r="B116" t="s">
        <v>249</v>
      </c>
      <c r="C116" t="s">
        <v>263</v>
      </c>
      <c r="D116" t="s">
        <v>35</v>
      </c>
      <c r="E116" t="s">
        <v>14</v>
      </c>
      <c r="F116">
        <v>3</v>
      </c>
      <c r="G116" s="2">
        <v>13</v>
      </c>
      <c r="H116" t="s">
        <v>15</v>
      </c>
      <c r="I116" t="s">
        <v>44</v>
      </c>
      <c r="J116" s="2">
        <v>39</v>
      </c>
    </row>
    <row r="117" spans="1:10">
      <c r="A117" t="s">
        <v>264</v>
      </c>
      <c r="B117" t="s">
        <v>249</v>
      </c>
      <c r="C117" t="s">
        <v>265</v>
      </c>
      <c r="D117" t="s">
        <v>21</v>
      </c>
      <c r="E117" t="s">
        <v>14</v>
      </c>
      <c r="F117">
        <v>1</v>
      </c>
      <c r="G117" s="2">
        <v>12</v>
      </c>
      <c r="H117" t="s">
        <v>41</v>
      </c>
      <c r="I117" t="s">
        <v>16</v>
      </c>
      <c r="J117" s="2">
        <v>12</v>
      </c>
    </row>
    <row r="118" spans="1:10">
      <c r="A118" t="s">
        <v>266</v>
      </c>
      <c r="B118" t="s">
        <v>249</v>
      </c>
      <c r="C118" t="s">
        <v>267</v>
      </c>
      <c r="D118" t="s">
        <v>268</v>
      </c>
      <c r="E118" t="s">
        <v>14</v>
      </c>
      <c r="F118">
        <v>2</v>
      </c>
      <c r="G118" s="2">
        <v>9</v>
      </c>
      <c r="H118" t="s">
        <v>26</v>
      </c>
      <c r="I118" t="s">
        <v>44</v>
      </c>
      <c r="J118" s="2">
        <v>18</v>
      </c>
    </row>
    <row r="119" spans="1:10">
      <c r="A119" t="s">
        <v>269</v>
      </c>
      <c r="B119" t="s">
        <v>249</v>
      </c>
      <c r="C119" t="s">
        <v>270</v>
      </c>
      <c r="D119" t="s">
        <v>35</v>
      </c>
      <c r="E119" t="s">
        <v>14</v>
      </c>
      <c r="F119">
        <v>1</v>
      </c>
      <c r="G119" s="2">
        <v>13</v>
      </c>
      <c r="H119" t="s">
        <v>26</v>
      </c>
      <c r="I119" t="s">
        <v>44</v>
      </c>
      <c r="J119" s="2">
        <v>13</v>
      </c>
    </row>
    <row r="120" spans="1:10">
      <c r="A120" t="s">
        <v>271</v>
      </c>
      <c r="B120" t="s">
        <v>249</v>
      </c>
      <c r="C120" t="s">
        <v>272</v>
      </c>
      <c r="D120" t="s">
        <v>21</v>
      </c>
      <c r="E120" t="s">
        <v>14</v>
      </c>
      <c r="F120">
        <v>2</v>
      </c>
      <c r="G120" s="2">
        <v>12</v>
      </c>
      <c r="H120" t="s">
        <v>26</v>
      </c>
      <c r="I120" t="s">
        <v>16</v>
      </c>
      <c r="J120" s="2">
        <v>24</v>
      </c>
    </row>
    <row r="121" spans="1:10">
      <c r="A121" t="s">
        <v>273</v>
      </c>
      <c r="B121" t="s">
        <v>249</v>
      </c>
      <c r="C121" t="s">
        <v>161</v>
      </c>
      <c r="D121" t="s">
        <v>38</v>
      </c>
      <c r="E121" t="s">
        <v>14</v>
      </c>
      <c r="F121">
        <v>1</v>
      </c>
      <c r="G121" s="2">
        <v>9</v>
      </c>
      <c r="H121" t="s">
        <v>15</v>
      </c>
      <c r="I121" t="s">
        <v>44</v>
      </c>
      <c r="J121" s="2">
        <v>9</v>
      </c>
    </row>
    <row r="122" spans="1:10">
      <c r="A122" t="s">
        <v>274</v>
      </c>
      <c r="B122" t="s">
        <v>249</v>
      </c>
      <c r="C122" t="s">
        <v>275</v>
      </c>
      <c r="D122" t="s">
        <v>72</v>
      </c>
      <c r="E122" t="s">
        <v>14</v>
      </c>
      <c r="F122">
        <v>1</v>
      </c>
      <c r="G122" s="2">
        <v>14</v>
      </c>
      <c r="H122" t="s">
        <v>41</v>
      </c>
      <c r="I122" t="s">
        <v>16</v>
      </c>
      <c r="J122" s="2">
        <v>14</v>
      </c>
    </row>
    <row r="123" spans="1:10">
      <c r="A123" t="s">
        <v>276</v>
      </c>
      <c r="B123" t="s">
        <v>249</v>
      </c>
      <c r="C123" t="s">
        <v>277</v>
      </c>
      <c r="D123" t="s">
        <v>115</v>
      </c>
      <c r="E123" t="s">
        <v>63</v>
      </c>
      <c r="F123">
        <v>1</v>
      </c>
      <c r="G123" s="2">
        <v>16</v>
      </c>
      <c r="H123" t="s">
        <v>26</v>
      </c>
      <c r="I123" t="s">
        <v>44</v>
      </c>
      <c r="J123" s="2">
        <v>16</v>
      </c>
    </row>
    <row r="124" spans="1:10">
      <c r="A124" t="s">
        <v>278</v>
      </c>
      <c r="B124" t="s">
        <v>249</v>
      </c>
      <c r="C124" t="s">
        <v>279</v>
      </c>
      <c r="D124" t="s">
        <v>35</v>
      </c>
      <c r="E124" t="s">
        <v>14</v>
      </c>
      <c r="F124">
        <v>1</v>
      </c>
      <c r="G124" s="2">
        <v>13</v>
      </c>
      <c r="H124" t="s">
        <v>26</v>
      </c>
      <c r="I124" t="s">
        <v>44</v>
      </c>
      <c r="J124" s="2">
        <v>13</v>
      </c>
    </row>
    <row r="125" spans="1:10">
      <c r="A125" t="s">
        <v>280</v>
      </c>
      <c r="B125" t="s">
        <v>249</v>
      </c>
      <c r="C125" t="s">
        <v>281</v>
      </c>
      <c r="D125" t="s">
        <v>35</v>
      </c>
      <c r="E125" t="s">
        <v>14</v>
      </c>
      <c r="F125">
        <v>1</v>
      </c>
      <c r="G125" s="2">
        <v>13</v>
      </c>
      <c r="H125" t="s">
        <v>26</v>
      </c>
      <c r="I125" t="s">
        <v>44</v>
      </c>
      <c r="J125" s="2">
        <v>13</v>
      </c>
    </row>
    <row r="126" spans="1:10">
      <c r="A126" t="s">
        <v>282</v>
      </c>
      <c r="B126" t="s">
        <v>283</v>
      </c>
      <c r="C126" t="s">
        <v>284</v>
      </c>
      <c r="D126" t="s">
        <v>62</v>
      </c>
      <c r="E126" t="s">
        <v>63</v>
      </c>
      <c r="F126">
        <v>2</v>
      </c>
      <c r="G126" s="2">
        <v>10</v>
      </c>
      <c r="H126" t="s">
        <v>26</v>
      </c>
      <c r="I126" t="s">
        <v>44</v>
      </c>
      <c r="J126" s="2">
        <v>20</v>
      </c>
    </row>
    <row r="127" spans="1:10">
      <c r="A127" t="s">
        <v>285</v>
      </c>
      <c r="B127" t="s">
        <v>283</v>
      </c>
      <c r="C127" t="s">
        <v>286</v>
      </c>
      <c r="D127" t="s">
        <v>29</v>
      </c>
      <c r="E127" t="s">
        <v>30</v>
      </c>
      <c r="F127">
        <v>3</v>
      </c>
      <c r="G127" s="2">
        <v>9</v>
      </c>
      <c r="H127" t="s">
        <v>26</v>
      </c>
      <c r="I127" t="s">
        <v>16</v>
      </c>
      <c r="J127" s="2">
        <v>27</v>
      </c>
    </row>
    <row r="128" spans="1:10">
      <c r="A128" t="s">
        <v>287</v>
      </c>
      <c r="B128" t="s">
        <v>283</v>
      </c>
      <c r="C128" t="s">
        <v>288</v>
      </c>
      <c r="D128" t="s">
        <v>51</v>
      </c>
      <c r="E128" t="s">
        <v>14</v>
      </c>
      <c r="F128">
        <v>1</v>
      </c>
      <c r="G128" s="2">
        <v>7</v>
      </c>
      <c r="H128" t="s">
        <v>41</v>
      </c>
      <c r="I128" t="s">
        <v>16</v>
      </c>
      <c r="J128" s="2">
        <v>7</v>
      </c>
    </row>
    <row r="129" spans="1:10">
      <c r="A129" t="s">
        <v>289</v>
      </c>
      <c r="B129" t="s">
        <v>283</v>
      </c>
      <c r="C129" t="s">
        <v>290</v>
      </c>
      <c r="D129" t="s">
        <v>35</v>
      </c>
      <c r="E129" t="s">
        <v>14</v>
      </c>
      <c r="F129">
        <v>2</v>
      </c>
      <c r="G129" s="2">
        <v>13</v>
      </c>
      <c r="H129" t="s">
        <v>15</v>
      </c>
      <c r="I129" t="s">
        <v>44</v>
      </c>
      <c r="J129" s="2">
        <v>26</v>
      </c>
    </row>
    <row r="130" spans="1:10">
      <c r="A130" t="s">
        <v>291</v>
      </c>
      <c r="B130" t="s">
        <v>283</v>
      </c>
      <c r="C130" t="s">
        <v>292</v>
      </c>
      <c r="D130" t="s">
        <v>51</v>
      </c>
      <c r="E130" t="s">
        <v>14</v>
      </c>
      <c r="F130">
        <v>1</v>
      </c>
      <c r="G130" s="2">
        <v>7</v>
      </c>
      <c r="H130" t="s">
        <v>26</v>
      </c>
      <c r="I130" t="s">
        <v>44</v>
      </c>
      <c r="J130" s="2">
        <v>7</v>
      </c>
    </row>
    <row r="131" spans="1:10">
      <c r="A131" t="s">
        <v>293</v>
      </c>
      <c r="B131" t="s">
        <v>283</v>
      </c>
      <c r="C131" t="s">
        <v>294</v>
      </c>
      <c r="D131" t="s">
        <v>115</v>
      </c>
      <c r="E131" t="s">
        <v>63</v>
      </c>
      <c r="F131">
        <v>1</v>
      </c>
      <c r="G131" s="2">
        <v>16</v>
      </c>
      <c r="H131" t="s">
        <v>26</v>
      </c>
      <c r="I131" t="s">
        <v>44</v>
      </c>
      <c r="J131" s="2">
        <v>16</v>
      </c>
    </row>
    <row r="132" spans="1:10">
      <c r="A132" t="s">
        <v>295</v>
      </c>
      <c r="B132" t="s">
        <v>283</v>
      </c>
      <c r="C132" t="s">
        <v>296</v>
      </c>
      <c r="D132" t="s">
        <v>38</v>
      </c>
      <c r="E132" t="s">
        <v>14</v>
      </c>
      <c r="F132">
        <v>1</v>
      </c>
      <c r="G132" s="2">
        <v>9</v>
      </c>
      <c r="H132" t="s">
        <v>15</v>
      </c>
      <c r="I132" t="s">
        <v>44</v>
      </c>
      <c r="J132" s="2">
        <v>9</v>
      </c>
    </row>
    <row r="133" spans="1:10">
      <c r="A133" t="s">
        <v>297</v>
      </c>
      <c r="B133" t="s">
        <v>283</v>
      </c>
      <c r="C133" t="s">
        <v>298</v>
      </c>
      <c r="D133" t="s">
        <v>54</v>
      </c>
      <c r="E133" t="s">
        <v>30</v>
      </c>
      <c r="F133">
        <v>2</v>
      </c>
      <c r="G133" s="2">
        <v>8</v>
      </c>
      <c r="H133" t="s">
        <v>15</v>
      </c>
      <c r="I133" t="s">
        <v>44</v>
      </c>
      <c r="J133" s="2">
        <v>16</v>
      </c>
    </row>
    <row r="134" spans="1:10">
      <c r="A134" t="s">
        <v>299</v>
      </c>
      <c r="B134" t="s">
        <v>283</v>
      </c>
      <c r="C134" t="s">
        <v>239</v>
      </c>
      <c r="D134" t="s">
        <v>21</v>
      </c>
      <c r="E134" t="s">
        <v>14</v>
      </c>
      <c r="F134">
        <v>1</v>
      </c>
      <c r="G134" s="2">
        <v>12</v>
      </c>
      <c r="H134" t="s">
        <v>41</v>
      </c>
      <c r="I134" t="s">
        <v>16</v>
      </c>
      <c r="J134" s="2">
        <v>12</v>
      </c>
    </row>
    <row r="135" spans="1:10">
      <c r="A135" t="s">
        <v>300</v>
      </c>
      <c r="B135" t="s">
        <v>283</v>
      </c>
      <c r="C135" t="s">
        <v>301</v>
      </c>
      <c r="D135" t="s">
        <v>35</v>
      </c>
      <c r="E135" t="s">
        <v>14</v>
      </c>
      <c r="F135">
        <v>3</v>
      </c>
      <c r="G135" s="2">
        <v>13</v>
      </c>
      <c r="H135" t="s">
        <v>26</v>
      </c>
      <c r="I135" t="s">
        <v>16</v>
      </c>
      <c r="J135" s="2">
        <v>39</v>
      </c>
    </row>
    <row r="136" spans="1:10">
      <c r="A136" t="s">
        <v>302</v>
      </c>
      <c r="B136" t="s">
        <v>283</v>
      </c>
      <c r="C136" t="s">
        <v>303</v>
      </c>
      <c r="D136" t="s">
        <v>38</v>
      </c>
      <c r="E136" t="s">
        <v>14</v>
      </c>
      <c r="F136">
        <v>2</v>
      </c>
      <c r="G136" s="2">
        <v>9</v>
      </c>
      <c r="H136" t="s">
        <v>26</v>
      </c>
      <c r="I136" t="s">
        <v>16</v>
      </c>
      <c r="J136" s="2">
        <v>18</v>
      </c>
    </row>
    <row r="137" spans="1:10">
      <c r="A137" t="s">
        <v>304</v>
      </c>
      <c r="B137" t="s">
        <v>283</v>
      </c>
      <c r="C137" t="s">
        <v>265</v>
      </c>
      <c r="D137" t="s">
        <v>54</v>
      </c>
      <c r="E137" t="s">
        <v>30</v>
      </c>
      <c r="F137">
        <v>1</v>
      </c>
      <c r="G137" s="2">
        <v>8</v>
      </c>
      <c r="H137" t="s">
        <v>26</v>
      </c>
      <c r="I137" t="s">
        <v>44</v>
      </c>
      <c r="J137" s="2">
        <v>8</v>
      </c>
    </row>
    <row r="138" spans="1:10">
      <c r="A138" t="s">
        <v>305</v>
      </c>
      <c r="B138" t="s">
        <v>283</v>
      </c>
      <c r="C138" t="s">
        <v>123</v>
      </c>
      <c r="D138" t="s">
        <v>62</v>
      </c>
      <c r="E138" t="s">
        <v>63</v>
      </c>
      <c r="F138">
        <v>1</v>
      </c>
      <c r="G138" s="2">
        <v>10</v>
      </c>
      <c r="H138" t="s">
        <v>15</v>
      </c>
      <c r="I138" t="s">
        <v>16</v>
      </c>
      <c r="J138" s="2">
        <v>10</v>
      </c>
    </row>
    <row r="139" spans="1:10">
      <c r="A139" t="s">
        <v>306</v>
      </c>
      <c r="B139" t="s">
        <v>283</v>
      </c>
      <c r="C139" t="s">
        <v>307</v>
      </c>
      <c r="D139" t="s">
        <v>38</v>
      </c>
      <c r="E139" t="s">
        <v>14</v>
      </c>
      <c r="F139">
        <v>1</v>
      </c>
      <c r="G139" s="2">
        <v>9</v>
      </c>
      <c r="H139" t="s">
        <v>15</v>
      </c>
      <c r="I139" t="s">
        <v>16</v>
      </c>
      <c r="J139" s="2">
        <v>9</v>
      </c>
    </row>
    <row r="140" spans="1:10">
      <c r="A140" t="s">
        <v>308</v>
      </c>
      <c r="B140" t="s">
        <v>283</v>
      </c>
      <c r="C140" t="s">
        <v>185</v>
      </c>
      <c r="D140" t="s">
        <v>35</v>
      </c>
      <c r="E140" t="s">
        <v>14</v>
      </c>
      <c r="F140">
        <v>2</v>
      </c>
      <c r="G140" s="2">
        <v>13</v>
      </c>
      <c r="H140" t="s">
        <v>15</v>
      </c>
      <c r="I140" t="s">
        <v>16</v>
      </c>
      <c r="J140" s="2">
        <v>26</v>
      </c>
    </row>
    <row r="141" spans="1:10">
      <c r="A141" t="s">
        <v>309</v>
      </c>
      <c r="B141" t="s">
        <v>283</v>
      </c>
      <c r="C141" t="s">
        <v>310</v>
      </c>
      <c r="D141" t="s">
        <v>21</v>
      </c>
      <c r="E141" t="s">
        <v>14</v>
      </c>
      <c r="F141">
        <v>1</v>
      </c>
      <c r="G141" s="2">
        <v>12</v>
      </c>
      <c r="H141" t="s">
        <v>41</v>
      </c>
      <c r="I141" t="s">
        <v>16</v>
      </c>
      <c r="J141" s="2">
        <v>12</v>
      </c>
    </row>
    <row r="142" spans="1:10">
      <c r="A142" t="s">
        <v>311</v>
      </c>
      <c r="B142" t="s">
        <v>283</v>
      </c>
      <c r="C142" t="s">
        <v>312</v>
      </c>
      <c r="D142" t="s">
        <v>54</v>
      </c>
      <c r="E142" t="s">
        <v>30</v>
      </c>
      <c r="F142">
        <v>1</v>
      </c>
      <c r="G142" s="2">
        <v>8</v>
      </c>
      <c r="H142" t="s">
        <v>26</v>
      </c>
      <c r="I142" t="s">
        <v>44</v>
      </c>
      <c r="J142" s="2">
        <v>8</v>
      </c>
    </row>
    <row r="143" spans="1:10">
      <c r="A143" t="s">
        <v>313</v>
      </c>
      <c r="B143" t="s">
        <v>314</v>
      </c>
      <c r="C143" t="s">
        <v>315</v>
      </c>
      <c r="D143" t="s">
        <v>62</v>
      </c>
      <c r="E143" t="s">
        <v>63</v>
      </c>
      <c r="F143">
        <v>1</v>
      </c>
      <c r="G143" s="2">
        <v>10</v>
      </c>
      <c r="H143" t="s">
        <v>26</v>
      </c>
      <c r="I143" t="s">
        <v>44</v>
      </c>
      <c r="J143" s="2">
        <v>10</v>
      </c>
    </row>
    <row r="144" spans="1:10">
      <c r="A144" t="s">
        <v>316</v>
      </c>
      <c r="B144" t="s">
        <v>314</v>
      </c>
      <c r="C144" t="s">
        <v>174</v>
      </c>
      <c r="D144" t="s">
        <v>115</v>
      </c>
      <c r="E144" t="s">
        <v>63</v>
      </c>
      <c r="F144">
        <v>2</v>
      </c>
      <c r="G144" s="2">
        <v>16</v>
      </c>
      <c r="H144" t="s">
        <v>41</v>
      </c>
      <c r="I144" t="s">
        <v>44</v>
      </c>
      <c r="J144" s="2">
        <v>32</v>
      </c>
    </row>
    <row r="145" spans="1:10">
      <c r="A145" t="s">
        <v>317</v>
      </c>
      <c r="B145" t="s">
        <v>314</v>
      </c>
      <c r="C145" t="s">
        <v>218</v>
      </c>
      <c r="D145" t="s">
        <v>13</v>
      </c>
      <c r="E145" t="s">
        <v>14</v>
      </c>
      <c r="F145">
        <v>2</v>
      </c>
      <c r="G145" s="2">
        <v>15</v>
      </c>
      <c r="H145" t="s">
        <v>41</v>
      </c>
      <c r="I145" t="s">
        <v>16</v>
      </c>
      <c r="J145" s="2">
        <v>30</v>
      </c>
    </row>
    <row r="146" spans="1:10">
      <c r="A146" t="s">
        <v>318</v>
      </c>
      <c r="B146" t="s">
        <v>314</v>
      </c>
      <c r="C146" t="s">
        <v>319</v>
      </c>
      <c r="D146" t="s">
        <v>35</v>
      </c>
      <c r="E146" t="s">
        <v>14</v>
      </c>
      <c r="F146">
        <v>3</v>
      </c>
      <c r="G146" s="2">
        <v>13</v>
      </c>
      <c r="H146" t="s">
        <v>15</v>
      </c>
      <c r="I146" t="s">
        <v>16</v>
      </c>
      <c r="J146" s="2">
        <v>39</v>
      </c>
    </row>
    <row r="147" spans="1:10">
      <c r="A147" t="s">
        <v>320</v>
      </c>
      <c r="B147" t="s">
        <v>314</v>
      </c>
      <c r="C147" t="s">
        <v>321</v>
      </c>
      <c r="D147" t="s">
        <v>51</v>
      </c>
      <c r="E147" t="s">
        <v>14</v>
      </c>
      <c r="F147">
        <v>1</v>
      </c>
      <c r="G147" s="2">
        <v>7</v>
      </c>
      <c r="H147" t="s">
        <v>41</v>
      </c>
      <c r="I147" t="s">
        <v>44</v>
      </c>
      <c r="J147" s="2">
        <v>7</v>
      </c>
    </row>
    <row r="148" spans="1:10">
      <c r="A148" t="s">
        <v>322</v>
      </c>
      <c r="B148" t="s">
        <v>314</v>
      </c>
      <c r="C148" t="s">
        <v>323</v>
      </c>
      <c r="D148" t="s">
        <v>35</v>
      </c>
      <c r="E148" t="s">
        <v>14</v>
      </c>
      <c r="F148">
        <v>1</v>
      </c>
      <c r="G148" s="2">
        <v>13</v>
      </c>
      <c r="H148" t="s">
        <v>15</v>
      </c>
      <c r="I148" t="s">
        <v>16</v>
      </c>
      <c r="J148" s="2">
        <v>13</v>
      </c>
    </row>
    <row r="149" spans="1:10">
      <c r="A149" t="s">
        <v>324</v>
      </c>
      <c r="B149" t="s">
        <v>314</v>
      </c>
      <c r="C149" t="s">
        <v>325</v>
      </c>
      <c r="D149" t="s">
        <v>326</v>
      </c>
      <c r="E149" t="s">
        <v>14</v>
      </c>
      <c r="F149">
        <v>1</v>
      </c>
      <c r="G149" s="2">
        <v>9</v>
      </c>
      <c r="H149" t="s">
        <v>26</v>
      </c>
      <c r="I149" t="s">
        <v>44</v>
      </c>
      <c r="J149" s="2">
        <v>9</v>
      </c>
    </row>
    <row r="150" spans="1:10">
      <c r="A150" t="s">
        <v>327</v>
      </c>
      <c r="B150" t="s">
        <v>314</v>
      </c>
      <c r="C150" t="s">
        <v>328</v>
      </c>
      <c r="D150" t="s">
        <v>72</v>
      </c>
      <c r="E150" t="s">
        <v>14</v>
      </c>
      <c r="F150">
        <v>2</v>
      </c>
      <c r="G150" s="2">
        <v>14</v>
      </c>
      <c r="H150" t="s">
        <v>15</v>
      </c>
      <c r="I150" t="s">
        <v>44</v>
      </c>
      <c r="J150" s="2">
        <v>28</v>
      </c>
    </row>
    <row r="151" spans="1:10">
      <c r="A151" t="s">
        <v>329</v>
      </c>
      <c r="B151" t="s">
        <v>314</v>
      </c>
      <c r="C151" t="s">
        <v>330</v>
      </c>
      <c r="D151" t="s">
        <v>38</v>
      </c>
      <c r="E151" t="s">
        <v>14</v>
      </c>
      <c r="F151">
        <v>1</v>
      </c>
      <c r="G151" s="2">
        <v>9</v>
      </c>
      <c r="H151" t="s">
        <v>331</v>
      </c>
      <c r="I151" t="s">
        <v>16</v>
      </c>
      <c r="J151" s="2">
        <v>9</v>
      </c>
    </row>
    <row r="152" spans="1:10">
      <c r="A152" t="s">
        <v>332</v>
      </c>
      <c r="B152" t="s">
        <v>333</v>
      </c>
      <c r="C152" t="s">
        <v>263</v>
      </c>
      <c r="D152" t="s">
        <v>35</v>
      </c>
      <c r="E152" t="s">
        <v>14</v>
      </c>
      <c r="F152">
        <v>1</v>
      </c>
      <c r="G152" s="2">
        <v>13</v>
      </c>
      <c r="H152" t="s">
        <v>15</v>
      </c>
      <c r="I152" t="s">
        <v>44</v>
      </c>
      <c r="J152" s="2">
        <v>13</v>
      </c>
    </row>
    <row r="153" spans="1:10">
      <c r="A153" t="s">
        <v>334</v>
      </c>
      <c r="B153" t="s">
        <v>333</v>
      </c>
      <c r="C153" t="s">
        <v>263</v>
      </c>
      <c r="D153" t="s">
        <v>21</v>
      </c>
      <c r="E153" t="s">
        <v>14</v>
      </c>
      <c r="F153">
        <v>2</v>
      </c>
      <c r="G153" s="2">
        <v>12</v>
      </c>
      <c r="H153" t="s">
        <v>41</v>
      </c>
      <c r="I153" t="s">
        <v>44</v>
      </c>
      <c r="J153" s="2">
        <v>24</v>
      </c>
    </row>
    <row r="154" spans="1:10">
      <c r="A154" t="s">
        <v>335</v>
      </c>
      <c r="B154" t="s">
        <v>333</v>
      </c>
      <c r="C154" t="s">
        <v>336</v>
      </c>
      <c r="D154" t="s">
        <v>29</v>
      </c>
      <c r="E154" t="s">
        <v>30</v>
      </c>
      <c r="F154">
        <v>2</v>
      </c>
      <c r="G154" s="2">
        <v>9</v>
      </c>
      <c r="H154" t="s">
        <v>15</v>
      </c>
      <c r="I154" t="s">
        <v>44</v>
      </c>
      <c r="J154" s="2">
        <v>18</v>
      </c>
    </row>
    <row r="155" spans="1:10">
      <c r="A155" t="s">
        <v>337</v>
      </c>
      <c r="B155" t="s">
        <v>333</v>
      </c>
      <c r="C155" t="s">
        <v>336</v>
      </c>
      <c r="D155" t="s">
        <v>105</v>
      </c>
      <c r="E155" t="s">
        <v>25</v>
      </c>
      <c r="F155">
        <v>1</v>
      </c>
      <c r="G155" s="2">
        <v>12</v>
      </c>
      <c r="H155" t="s">
        <v>41</v>
      </c>
      <c r="I155" t="s">
        <v>44</v>
      </c>
      <c r="J155" s="2">
        <v>12</v>
      </c>
    </row>
    <row r="156" spans="1:10">
      <c r="A156" t="s">
        <v>338</v>
      </c>
      <c r="B156" t="s">
        <v>333</v>
      </c>
      <c r="C156" t="s">
        <v>339</v>
      </c>
      <c r="D156" t="s">
        <v>35</v>
      </c>
      <c r="E156" t="s">
        <v>14</v>
      </c>
      <c r="F156">
        <v>1</v>
      </c>
      <c r="G156" s="2">
        <v>13</v>
      </c>
      <c r="H156" t="s">
        <v>15</v>
      </c>
      <c r="I156" t="s">
        <v>16</v>
      </c>
      <c r="J156" s="2">
        <v>13</v>
      </c>
    </row>
    <row r="157" spans="1:10">
      <c r="A157" t="s">
        <v>340</v>
      </c>
      <c r="B157" t="s">
        <v>333</v>
      </c>
      <c r="C157" t="s">
        <v>46</v>
      </c>
      <c r="D157" t="s">
        <v>24</v>
      </c>
      <c r="E157" t="s">
        <v>25</v>
      </c>
      <c r="F157">
        <v>2</v>
      </c>
      <c r="G157" s="2">
        <v>14</v>
      </c>
      <c r="H157" t="s">
        <v>41</v>
      </c>
      <c r="I157" t="s">
        <v>44</v>
      </c>
      <c r="J157" s="2">
        <v>28</v>
      </c>
    </row>
    <row r="158" spans="1:10">
      <c r="A158" t="s">
        <v>341</v>
      </c>
      <c r="B158" t="s">
        <v>333</v>
      </c>
      <c r="C158" t="s">
        <v>342</v>
      </c>
      <c r="D158" t="s">
        <v>38</v>
      </c>
      <c r="E158" t="s">
        <v>14</v>
      </c>
      <c r="F158">
        <v>2</v>
      </c>
      <c r="G158" s="2">
        <v>9</v>
      </c>
      <c r="H158" t="s">
        <v>26</v>
      </c>
      <c r="I158" t="s">
        <v>44</v>
      </c>
      <c r="J158" s="2">
        <v>18</v>
      </c>
    </row>
    <row r="159" spans="1:10">
      <c r="A159" t="s">
        <v>343</v>
      </c>
      <c r="B159" t="s">
        <v>344</v>
      </c>
      <c r="C159" t="s">
        <v>345</v>
      </c>
      <c r="D159" t="s">
        <v>35</v>
      </c>
      <c r="E159" t="s">
        <v>14</v>
      </c>
      <c r="F159">
        <v>1</v>
      </c>
      <c r="G159" s="2">
        <v>13</v>
      </c>
      <c r="H159" t="s">
        <v>26</v>
      </c>
      <c r="I159" t="s">
        <v>16</v>
      </c>
      <c r="J159" s="2">
        <v>13</v>
      </c>
    </row>
    <row r="160" spans="1:10">
      <c r="A160" t="s">
        <v>346</v>
      </c>
      <c r="B160" t="s">
        <v>344</v>
      </c>
      <c r="C160" t="s">
        <v>347</v>
      </c>
      <c r="D160" t="s">
        <v>35</v>
      </c>
      <c r="E160" t="s">
        <v>14</v>
      </c>
      <c r="F160">
        <v>2</v>
      </c>
      <c r="G160" s="2">
        <v>13</v>
      </c>
      <c r="H160" t="s">
        <v>15</v>
      </c>
      <c r="I160" t="s">
        <v>44</v>
      </c>
      <c r="J160" s="2">
        <v>26</v>
      </c>
    </row>
    <row r="161" spans="1:10">
      <c r="A161" t="s">
        <v>348</v>
      </c>
      <c r="B161" t="s">
        <v>344</v>
      </c>
      <c r="C161" t="s">
        <v>349</v>
      </c>
      <c r="D161" t="s">
        <v>51</v>
      </c>
      <c r="E161" t="s">
        <v>14</v>
      </c>
      <c r="F161">
        <v>1</v>
      </c>
      <c r="G161" s="2">
        <v>7</v>
      </c>
      <c r="H161" t="s">
        <v>41</v>
      </c>
      <c r="I161" t="s">
        <v>16</v>
      </c>
      <c r="J161" s="2">
        <v>7</v>
      </c>
    </row>
    <row r="162" spans="1:10">
      <c r="A162" t="s">
        <v>350</v>
      </c>
      <c r="B162" t="s">
        <v>344</v>
      </c>
      <c r="C162" t="s">
        <v>199</v>
      </c>
      <c r="D162" t="s">
        <v>105</v>
      </c>
      <c r="E162" t="s">
        <v>25</v>
      </c>
      <c r="F162">
        <v>2</v>
      </c>
      <c r="G162" s="2">
        <v>12</v>
      </c>
      <c r="H162" t="s">
        <v>41</v>
      </c>
      <c r="I162" t="s">
        <v>16</v>
      </c>
      <c r="J162" s="2">
        <v>24</v>
      </c>
    </row>
    <row r="163" spans="1:10">
      <c r="A163" t="s">
        <v>351</v>
      </c>
      <c r="B163" t="s">
        <v>344</v>
      </c>
      <c r="C163" t="s">
        <v>352</v>
      </c>
      <c r="D163" t="s">
        <v>72</v>
      </c>
      <c r="E163" t="s">
        <v>14</v>
      </c>
      <c r="F163">
        <v>1</v>
      </c>
      <c r="G163" s="2">
        <v>14</v>
      </c>
      <c r="H163" t="s">
        <v>26</v>
      </c>
      <c r="I163" t="s">
        <v>44</v>
      </c>
      <c r="J163" s="2">
        <v>14</v>
      </c>
    </row>
    <row r="164" spans="1:10">
      <c r="A164" t="s">
        <v>353</v>
      </c>
      <c r="B164" t="s">
        <v>344</v>
      </c>
      <c r="C164" t="s">
        <v>354</v>
      </c>
      <c r="D164" t="s">
        <v>38</v>
      </c>
      <c r="E164" t="s">
        <v>14</v>
      </c>
      <c r="F164">
        <v>1</v>
      </c>
      <c r="G164" s="2">
        <v>9</v>
      </c>
      <c r="H164" t="s">
        <v>26</v>
      </c>
      <c r="I164" t="s">
        <v>16</v>
      </c>
      <c r="J164" s="2">
        <v>9</v>
      </c>
    </row>
    <row r="165" spans="1:10">
      <c r="A165" t="s">
        <v>355</v>
      </c>
      <c r="B165" t="s">
        <v>344</v>
      </c>
      <c r="C165" t="s">
        <v>356</v>
      </c>
      <c r="D165" t="s">
        <v>62</v>
      </c>
      <c r="E165" t="s">
        <v>63</v>
      </c>
      <c r="F165">
        <v>3</v>
      </c>
      <c r="G165" s="2">
        <v>10</v>
      </c>
      <c r="H165" t="s">
        <v>26</v>
      </c>
      <c r="I165" t="s">
        <v>16</v>
      </c>
      <c r="J165" s="2">
        <v>30</v>
      </c>
    </row>
    <row r="166" spans="1:10">
      <c r="A166" t="s">
        <v>357</v>
      </c>
      <c r="B166" t="s">
        <v>344</v>
      </c>
      <c r="C166" t="s">
        <v>358</v>
      </c>
      <c r="D166" t="s">
        <v>51</v>
      </c>
      <c r="E166" t="s">
        <v>14</v>
      </c>
      <c r="F166">
        <v>1</v>
      </c>
      <c r="G166" s="2">
        <v>7</v>
      </c>
      <c r="H166" t="s">
        <v>26</v>
      </c>
      <c r="I166" t="s">
        <v>16</v>
      </c>
      <c r="J166" s="2">
        <v>7</v>
      </c>
    </row>
    <row r="167" spans="1:10">
      <c r="A167" t="s">
        <v>359</v>
      </c>
      <c r="B167" t="s">
        <v>344</v>
      </c>
      <c r="C167" t="s">
        <v>360</v>
      </c>
      <c r="D167" t="s">
        <v>24</v>
      </c>
      <c r="E167" t="s">
        <v>25</v>
      </c>
      <c r="F167">
        <v>1</v>
      </c>
      <c r="G167" s="2">
        <v>14</v>
      </c>
      <c r="H167" t="s">
        <v>15</v>
      </c>
      <c r="I167" t="s">
        <v>44</v>
      </c>
      <c r="J167" s="2">
        <v>14</v>
      </c>
    </row>
    <row r="168" spans="1:10">
      <c r="A168" t="s">
        <v>361</v>
      </c>
      <c r="B168" t="s">
        <v>344</v>
      </c>
      <c r="C168" t="s">
        <v>362</v>
      </c>
      <c r="D168" t="s">
        <v>105</v>
      </c>
      <c r="E168" t="s">
        <v>25</v>
      </c>
      <c r="F168">
        <v>1</v>
      </c>
      <c r="G168" s="2">
        <v>12</v>
      </c>
      <c r="H168" t="s">
        <v>26</v>
      </c>
      <c r="I168" t="s">
        <v>44</v>
      </c>
      <c r="J168" s="2">
        <v>12</v>
      </c>
    </row>
    <row r="169" spans="1:10">
      <c r="A169" t="s">
        <v>363</v>
      </c>
      <c r="B169" t="s">
        <v>344</v>
      </c>
      <c r="C169" t="s">
        <v>364</v>
      </c>
      <c r="D169" t="s">
        <v>38</v>
      </c>
      <c r="E169" t="s">
        <v>14</v>
      </c>
      <c r="F169">
        <v>1</v>
      </c>
      <c r="G169" s="2">
        <v>9</v>
      </c>
      <c r="H169" t="s">
        <v>15</v>
      </c>
      <c r="I169" t="s">
        <v>44</v>
      </c>
      <c r="J169" s="2">
        <v>9</v>
      </c>
    </row>
    <row r="170" spans="1:10">
      <c r="A170" t="s">
        <v>365</v>
      </c>
      <c r="B170" t="s">
        <v>344</v>
      </c>
      <c r="C170" t="s">
        <v>247</v>
      </c>
      <c r="D170" t="s">
        <v>54</v>
      </c>
      <c r="E170" t="s">
        <v>30</v>
      </c>
      <c r="F170">
        <v>1</v>
      </c>
      <c r="G170" s="2">
        <v>8</v>
      </c>
      <c r="H170" t="s">
        <v>26</v>
      </c>
      <c r="I170" t="s">
        <v>44</v>
      </c>
      <c r="J170" s="2">
        <v>8</v>
      </c>
    </row>
    <row r="171" spans="1:10">
      <c r="A171" t="s">
        <v>366</v>
      </c>
      <c r="B171" t="s">
        <v>367</v>
      </c>
      <c r="C171" t="s">
        <v>368</v>
      </c>
      <c r="D171" t="s">
        <v>21</v>
      </c>
      <c r="E171" t="s">
        <v>14</v>
      </c>
      <c r="F171">
        <v>2</v>
      </c>
      <c r="G171" s="2">
        <v>12</v>
      </c>
      <c r="H171" t="s">
        <v>26</v>
      </c>
      <c r="I171" t="s">
        <v>44</v>
      </c>
      <c r="J171" s="2">
        <v>24</v>
      </c>
    </row>
    <row r="172" spans="1:10">
      <c r="A172" t="s">
        <v>369</v>
      </c>
      <c r="B172" t="s">
        <v>367</v>
      </c>
      <c r="C172" t="s">
        <v>257</v>
      </c>
      <c r="D172" t="s">
        <v>35</v>
      </c>
      <c r="E172" t="s">
        <v>14</v>
      </c>
      <c r="F172">
        <v>1</v>
      </c>
      <c r="G172" s="2">
        <v>13</v>
      </c>
      <c r="H172" t="s">
        <v>26</v>
      </c>
      <c r="I172" t="s">
        <v>44</v>
      </c>
      <c r="J172" s="2">
        <v>13</v>
      </c>
    </row>
    <row r="173" spans="1:10">
      <c r="A173" t="s">
        <v>370</v>
      </c>
      <c r="B173" t="s">
        <v>367</v>
      </c>
      <c r="C173" t="s">
        <v>371</v>
      </c>
      <c r="D173" t="s">
        <v>62</v>
      </c>
      <c r="E173" t="s">
        <v>63</v>
      </c>
      <c r="F173">
        <v>4</v>
      </c>
      <c r="G173" s="2">
        <v>10</v>
      </c>
      <c r="H173" t="s">
        <v>26</v>
      </c>
      <c r="I173" t="s">
        <v>16</v>
      </c>
      <c r="J173" s="2">
        <v>40</v>
      </c>
    </row>
    <row r="174" spans="1:10">
      <c r="A174" t="s">
        <v>372</v>
      </c>
      <c r="B174" t="s">
        <v>367</v>
      </c>
      <c r="C174" t="s">
        <v>151</v>
      </c>
      <c r="D174" t="s">
        <v>51</v>
      </c>
      <c r="E174" t="s">
        <v>14</v>
      </c>
      <c r="F174">
        <v>1</v>
      </c>
      <c r="G174" s="2">
        <v>7</v>
      </c>
      <c r="H174" t="s">
        <v>26</v>
      </c>
      <c r="I174" t="s">
        <v>16</v>
      </c>
      <c r="J174" s="2">
        <v>7</v>
      </c>
    </row>
    <row r="175" spans="1:10">
      <c r="A175" t="s">
        <v>373</v>
      </c>
      <c r="B175" t="s">
        <v>367</v>
      </c>
      <c r="C175" t="s">
        <v>374</v>
      </c>
      <c r="D175" t="s">
        <v>72</v>
      </c>
      <c r="E175" t="s">
        <v>14</v>
      </c>
      <c r="F175">
        <v>2</v>
      </c>
      <c r="G175" s="2">
        <v>14</v>
      </c>
      <c r="H175" t="s">
        <v>41</v>
      </c>
      <c r="I175" t="s">
        <v>16</v>
      </c>
      <c r="J175" s="2">
        <v>28</v>
      </c>
    </row>
    <row r="176" spans="1:10">
      <c r="A176" t="s">
        <v>375</v>
      </c>
      <c r="B176" t="s">
        <v>367</v>
      </c>
      <c r="C176" t="s">
        <v>104</v>
      </c>
      <c r="D176" t="s">
        <v>13</v>
      </c>
      <c r="E176" t="s">
        <v>14</v>
      </c>
      <c r="F176">
        <v>2</v>
      </c>
      <c r="G176" s="2">
        <v>15</v>
      </c>
      <c r="H176" t="s">
        <v>26</v>
      </c>
      <c r="I176" t="s">
        <v>44</v>
      </c>
      <c r="J176" s="2">
        <v>30</v>
      </c>
    </row>
    <row r="177" spans="1:10">
      <c r="A177" t="s">
        <v>376</v>
      </c>
      <c r="B177" t="s">
        <v>367</v>
      </c>
      <c r="C177" t="s">
        <v>377</v>
      </c>
      <c r="D177" t="s">
        <v>105</v>
      </c>
      <c r="E177" t="s">
        <v>25</v>
      </c>
      <c r="F177">
        <v>2</v>
      </c>
      <c r="G177" s="2">
        <v>12</v>
      </c>
      <c r="H177" t="s">
        <v>26</v>
      </c>
      <c r="I177" t="s">
        <v>44</v>
      </c>
      <c r="J177" s="2">
        <v>24</v>
      </c>
    </row>
    <row r="178" spans="1:10">
      <c r="A178" t="s">
        <v>378</v>
      </c>
      <c r="B178" t="s">
        <v>367</v>
      </c>
      <c r="C178" t="s">
        <v>78</v>
      </c>
      <c r="D178" t="s">
        <v>62</v>
      </c>
      <c r="E178" t="s">
        <v>63</v>
      </c>
      <c r="F178">
        <v>1</v>
      </c>
      <c r="G178" s="2">
        <v>10</v>
      </c>
      <c r="H178" t="s">
        <v>26</v>
      </c>
      <c r="I178" t="s">
        <v>16</v>
      </c>
      <c r="J178" s="2">
        <v>10</v>
      </c>
    </row>
    <row r="179" spans="1:10">
      <c r="A179" t="s">
        <v>379</v>
      </c>
      <c r="B179" t="s">
        <v>367</v>
      </c>
      <c r="C179" t="s">
        <v>328</v>
      </c>
      <c r="D179" t="s">
        <v>62</v>
      </c>
      <c r="E179" t="s">
        <v>63</v>
      </c>
      <c r="F179">
        <v>1</v>
      </c>
      <c r="G179" s="2">
        <v>10</v>
      </c>
      <c r="H179" t="s">
        <v>26</v>
      </c>
      <c r="I179" t="s">
        <v>44</v>
      </c>
      <c r="J179" s="2">
        <v>10</v>
      </c>
    </row>
    <row r="180" spans="1:10">
      <c r="A180" t="s">
        <v>380</v>
      </c>
      <c r="B180" t="s">
        <v>367</v>
      </c>
      <c r="C180" t="s">
        <v>381</v>
      </c>
      <c r="D180" t="s">
        <v>35</v>
      </c>
      <c r="E180" t="s">
        <v>14</v>
      </c>
      <c r="F180">
        <v>1</v>
      </c>
      <c r="G180" s="2">
        <v>13</v>
      </c>
      <c r="H180" t="s">
        <v>41</v>
      </c>
      <c r="I180" t="s">
        <v>44</v>
      </c>
      <c r="J180" s="2">
        <v>13</v>
      </c>
    </row>
    <row r="181" spans="1:10">
      <c r="A181" t="s">
        <v>382</v>
      </c>
      <c r="B181" t="s">
        <v>367</v>
      </c>
      <c r="C181" t="s">
        <v>383</v>
      </c>
      <c r="D181" t="s">
        <v>24</v>
      </c>
      <c r="E181" t="s">
        <v>25</v>
      </c>
      <c r="F181">
        <v>1</v>
      </c>
      <c r="G181" s="2">
        <v>14</v>
      </c>
      <c r="H181" t="s">
        <v>15</v>
      </c>
      <c r="I181" t="s">
        <v>44</v>
      </c>
      <c r="J181" s="2">
        <v>14</v>
      </c>
    </row>
    <row r="182" spans="1:10">
      <c r="A182" t="s">
        <v>384</v>
      </c>
      <c r="B182" t="s">
        <v>385</v>
      </c>
      <c r="C182" t="s">
        <v>386</v>
      </c>
      <c r="D182" t="s">
        <v>72</v>
      </c>
      <c r="E182" t="s">
        <v>14</v>
      </c>
      <c r="F182">
        <v>1</v>
      </c>
      <c r="G182" s="2">
        <v>14</v>
      </c>
      <c r="H182" t="s">
        <v>26</v>
      </c>
      <c r="I182" t="s">
        <v>16</v>
      </c>
      <c r="J182" s="2">
        <v>14</v>
      </c>
    </row>
    <row r="183" spans="1:10">
      <c r="A183" t="s">
        <v>387</v>
      </c>
      <c r="B183" t="s">
        <v>385</v>
      </c>
      <c r="C183" t="s">
        <v>388</v>
      </c>
      <c r="D183" t="s">
        <v>29</v>
      </c>
      <c r="E183" t="s">
        <v>30</v>
      </c>
      <c r="F183">
        <v>2</v>
      </c>
      <c r="G183" s="2">
        <v>9</v>
      </c>
      <c r="H183" t="s">
        <v>41</v>
      </c>
      <c r="I183" t="s">
        <v>16</v>
      </c>
      <c r="J183" s="2">
        <v>18</v>
      </c>
    </row>
    <row r="184" spans="1:10">
      <c r="A184" t="s">
        <v>389</v>
      </c>
      <c r="B184" t="s">
        <v>385</v>
      </c>
      <c r="C184" t="s">
        <v>390</v>
      </c>
      <c r="D184" t="s">
        <v>24</v>
      </c>
      <c r="E184" t="s">
        <v>25</v>
      </c>
      <c r="F184">
        <v>1</v>
      </c>
      <c r="G184" s="2">
        <v>14</v>
      </c>
      <c r="H184" t="s">
        <v>26</v>
      </c>
      <c r="I184" t="s">
        <v>16</v>
      </c>
      <c r="J184" s="2">
        <v>14</v>
      </c>
    </row>
    <row r="185" spans="1:10">
      <c r="A185" t="s">
        <v>391</v>
      </c>
      <c r="B185" t="s">
        <v>385</v>
      </c>
      <c r="C185" t="s">
        <v>221</v>
      </c>
      <c r="D185" t="s">
        <v>21</v>
      </c>
      <c r="E185" t="s">
        <v>14</v>
      </c>
      <c r="F185">
        <v>1</v>
      </c>
      <c r="G185" s="2">
        <v>12</v>
      </c>
      <c r="H185" t="s">
        <v>15</v>
      </c>
      <c r="I185" t="s">
        <v>44</v>
      </c>
      <c r="J185" s="2">
        <v>12</v>
      </c>
    </row>
    <row r="186" spans="1:10">
      <c r="A186" t="s">
        <v>392</v>
      </c>
      <c r="B186" t="s">
        <v>385</v>
      </c>
      <c r="C186" t="s">
        <v>393</v>
      </c>
      <c r="D186" t="s">
        <v>29</v>
      </c>
      <c r="E186" t="s">
        <v>30</v>
      </c>
      <c r="F186">
        <v>1</v>
      </c>
      <c r="G186" s="2">
        <v>9</v>
      </c>
      <c r="H186" t="s">
        <v>26</v>
      </c>
      <c r="I186" t="s">
        <v>44</v>
      </c>
      <c r="J186" s="2">
        <v>9</v>
      </c>
    </row>
    <row r="187" spans="1:10">
      <c r="A187" t="s">
        <v>394</v>
      </c>
      <c r="B187" t="s">
        <v>385</v>
      </c>
      <c r="C187" t="s">
        <v>180</v>
      </c>
      <c r="D187" t="s">
        <v>51</v>
      </c>
      <c r="E187" t="s">
        <v>14</v>
      </c>
      <c r="F187">
        <v>3</v>
      </c>
      <c r="G187" s="2">
        <v>7</v>
      </c>
      <c r="H187" t="s">
        <v>15</v>
      </c>
      <c r="I187" t="s">
        <v>16</v>
      </c>
      <c r="J187" s="2">
        <v>21</v>
      </c>
    </row>
    <row r="188" spans="1:10">
      <c r="A188" t="s">
        <v>395</v>
      </c>
      <c r="B188" t="s">
        <v>385</v>
      </c>
      <c r="C188" t="s">
        <v>396</v>
      </c>
      <c r="D188" t="s">
        <v>38</v>
      </c>
      <c r="E188" t="s">
        <v>14</v>
      </c>
      <c r="F188">
        <v>2</v>
      </c>
      <c r="G188" s="2">
        <v>9</v>
      </c>
      <c r="H188" t="s">
        <v>41</v>
      </c>
      <c r="I188" t="s">
        <v>44</v>
      </c>
      <c r="J188" s="2">
        <v>18</v>
      </c>
    </row>
    <row r="189" spans="1:10">
      <c r="A189" t="s">
        <v>397</v>
      </c>
      <c r="B189" t="s">
        <v>385</v>
      </c>
      <c r="C189" t="s">
        <v>398</v>
      </c>
      <c r="D189" t="s">
        <v>62</v>
      </c>
      <c r="E189" t="s">
        <v>63</v>
      </c>
      <c r="F189">
        <v>1</v>
      </c>
      <c r="G189" s="2">
        <v>10</v>
      </c>
      <c r="H189" t="s">
        <v>26</v>
      </c>
      <c r="I189" t="s">
        <v>44</v>
      </c>
      <c r="J189" s="2">
        <v>10</v>
      </c>
    </row>
    <row r="190" spans="1:10">
      <c r="A190" t="s">
        <v>399</v>
      </c>
      <c r="B190" t="s">
        <v>385</v>
      </c>
      <c r="C190" t="s">
        <v>400</v>
      </c>
      <c r="D190" t="s">
        <v>24</v>
      </c>
      <c r="E190" t="s">
        <v>25</v>
      </c>
      <c r="F190">
        <v>2</v>
      </c>
      <c r="G190" s="2">
        <v>14</v>
      </c>
      <c r="H190" t="s">
        <v>41</v>
      </c>
      <c r="I190" t="s">
        <v>16</v>
      </c>
      <c r="J190" s="2">
        <v>28</v>
      </c>
    </row>
    <row r="191" spans="1:10">
      <c r="A191" t="s">
        <v>401</v>
      </c>
      <c r="B191" t="s">
        <v>385</v>
      </c>
      <c r="C191" t="s">
        <v>402</v>
      </c>
      <c r="D191" t="s">
        <v>29</v>
      </c>
      <c r="E191" t="s">
        <v>30</v>
      </c>
      <c r="F191">
        <v>2</v>
      </c>
      <c r="G191" s="2">
        <v>9</v>
      </c>
      <c r="H191" t="s">
        <v>41</v>
      </c>
      <c r="I191" t="s">
        <v>16</v>
      </c>
      <c r="J191" s="2">
        <v>18</v>
      </c>
    </row>
    <row r="192" spans="1:10">
      <c r="A192" t="s">
        <v>403</v>
      </c>
      <c r="B192" t="s">
        <v>385</v>
      </c>
      <c r="C192" t="s">
        <v>404</v>
      </c>
      <c r="D192" t="s">
        <v>21</v>
      </c>
      <c r="E192" t="s">
        <v>14</v>
      </c>
      <c r="F192">
        <v>2</v>
      </c>
      <c r="G192" s="2">
        <v>12</v>
      </c>
      <c r="H192" t="s">
        <v>15</v>
      </c>
      <c r="I192" t="s">
        <v>44</v>
      </c>
      <c r="J192" s="2">
        <v>24</v>
      </c>
    </row>
    <row r="193" spans="1:10">
      <c r="A193" t="s">
        <v>405</v>
      </c>
      <c r="B193" t="s">
        <v>385</v>
      </c>
      <c r="C193" t="s">
        <v>188</v>
      </c>
      <c r="D193" t="s">
        <v>24</v>
      </c>
      <c r="E193" t="s">
        <v>25</v>
      </c>
      <c r="F193">
        <v>1</v>
      </c>
      <c r="G193" s="2">
        <v>14</v>
      </c>
      <c r="H193" t="s">
        <v>26</v>
      </c>
      <c r="I193" t="s">
        <v>44</v>
      </c>
      <c r="J193" s="2">
        <v>14</v>
      </c>
    </row>
    <row r="194" spans="1:10">
      <c r="A194" t="s">
        <v>406</v>
      </c>
      <c r="B194" t="s">
        <v>385</v>
      </c>
      <c r="C194" t="s">
        <v>407</v>
      </c>
      <c r="D194" t="s">
        <v>54</v>
      </c>
      <c r="E194" t="s">
        <v>30</v>
      </c>
      <c r="F194">
        <v>1</v>
      </c>
      <c r="G194" s="2">
        <v>8</v>
      </c>
      <c r="H194" t="s">
        <v>15</v>
      </c>
      <c r="I194" t="s">
        <v>44</v>
      </c>
      <c r="J194" s="2">
        <v>8</v>
      </c>
    </row>
    <row r="195" spans="1:10">
      <c r="A195" t="s">
        <v>408</v>
      </c>
      <c r="B195" t="s">
        <v>385</v>
      </c>
      <c r="C195" t="s">
        <v>409</v>
      </c>
      <c r="D195" t="s">
        <v>72</v>
      </c>
      <c r="E195" t="s">
        <v>14</v>
      </c>
      <c r="F195">
        <v>1</v>
      </c>
      <c r="G195" s="2">
        <v>14</v>
      </c>
      <c r="H195" t="s">
        <v>41</v>
      </c>
      <c r="I195" t="s">
        <v>16</v>
      </c>
      <c r="J195" s="2">
        <v>14</v>
      </c>
    </row>
    <row r="196" spans="1:10">
      <c r="A196" t="s">
        <v>410</v>
      </c>
      <c r="B196" t="s">
        <v>411</v>
      </c>
      <c r="C196" t="s">
        <v>412</v>
      </c>
      <c r="D196" t="s">
        <v>29</v>
      </c>
      <c r="E196" t="s">
        <v>30</v>
      </c>
      <c r="F196">
        <v>1</v>
      </c>
      <c r="G196" s="2">
        <v>9</v>
      </c>
      <c r="H196" t="s">
        <v>15</v>
      </c>
      <c r="I196" t="s">
        <v>16</v>
      </c>
      <c r="J196" s="2">
        <v>9</v>
      </c>
    </row>
    <row r="197" spans="1:10">
      <c r="A197" t="s">
        <v>413</v>
      </c>
      <c r="B197" t="s">
        <v>411</v>
      </c>
      <c r="C197" t="s">
        <v>393</v>
      </c>
      <c r="D197" t="s">
        <v>38</v>
      </c>
      <c r="E197" t="s">
        <v>14</v>
      </c>
      <c r="F197">
        <v>1</v>
      </c>
      <c r="G197" s="2">
        <v>9</v>
      </c>
      <c r="H197" t="s">
        <v>26</v>
      </c>
      <c r="I197" t="s">
        <v>16</v>
      </c>
      <c r="J197" s="2">
        <v>9</v>
      </c>
    </row>
    <row r="198" spans="1:10">
      <c r="A198" t="s">
        <v>414</v>
      </c>
      <c r="B198" t="s">
        <v>411</v>
      </c>
      <c r="C198" t="s">
        <v>415</v>
      </c>
      <c r="D198" t="s">
        <v>51</v>
      </c>
      <c r="E198" t="s">
        <v>14</v>
      </c>
      <c r="F198">
        <v>1</v>
      </c>
      <c r="G198" s="2">
        <v>7</v>
      </c>
      <c r="H198" t="s">
        <v>26</v>
      </c>
      <c r="I198" t="s">
        <v>44</v>
      </c>
      <c r="J198" s="2">
        <v>7</v>
      </c>
    </row>
    <row r="199" spans="1:10">
      <c r="A199" t="s">
        <v>416</v>
      </c>
      <c r="B199" t="s">
        <v>411</v>
      </c>
      <c r="C199" t="s">
        <v>243</v>
      </c>
      <c r="D199" t="s">
        <v>21</v>
      </c>
      <c r="E199" t="s">
        <v>14</v>
      </c>
      <c r="F199">
        <v>1</v>
      </c>
      <c r="G199" s="2">
        <v>12</v>
      </c>
      <c r="H199" t="s">
        <v>41</v>
      </c>
      <c r="I199" t="s">
        <v>44</v>
      </c>
      <c r="J199" s="2">
        <v>12</v>
      </c>
    </row>
    <row r="200" spans="1:10">
      <c r="A200" t="s">
        <v>417</v>
      </c>
      <c r="B200" t="s">
        <v>411</v>
      </c>
      <c r="C200" t="s">
        <v>418</v>
      </c>
      <c r="D200" t="s">
        <v>62</v>
      </c>
      <c r="E200" t="s">
        <v>63</v>
      </c>
      <c r="F200">
        <v>4</v>
      </c>
      <c r="G200" s="2">
        <v>10</v>
      </c>
      <c r="H200" t="s">
        <v>41</v>
      </c>
      <c r="I200" t="s">
        <v>44</v>
      </c>
      <c r="J200" s="2">
        <v>40</v>
      </c>
    </row>
    <row r="201" spans="1:10">
      <c r="A201" t="s">
        <v>419</v>
      </c>
      <c r="B201" t="s">
        <v>411</v>
      </c>
      <c r="C201" t="s">
        <v>420</v>
      </c>
      <c r="D201" t="s">
        <v>62</v>
      </c>
      <c r="E201" t="s">
        <v>63</v>
      </c>
      <c r="F201">
        <v>1</v>
      </c>
      <c r="G201" s="2">
        <v>10</v>
      </c>
      <c r="H201" t="s">
        <v>41</v>
      </c>
      <c r="I201" t="s">
        <v>16</v>
      </c>
      <c r="J201" s="2">
        <v>10</v>
      </c>
    </row>
    <row r="202" spans="1:10">
      <c r="A202" t="s">
        <v>421</v>
      </c>
      <c r="B202" t="s">
        <v>411</v>
      </c>
      <c r="C202" t="s">
        <v>422</v>
      </c>
      <c r="D202" t="s">
        <v>115</v>
      </c>
      <c r="E202" t="s">
        <v>63</v>
      </c>
      <c r="F202">
        <v>1</v>
      </c>
      <c r="G202" s="2">
        <v>16</v>
      </c>
      <c r="H202" t="s">
        <v>41</v>
      </c>
      <c r="I202" t="s">
        <v>44</v>
      </c>
      <c r="J202" s="2">
        <v>16</v>
      </c>
    </row>
    <row r="203" spans="1:10">
      <c r="A203" t="s">
        <v>423</v>
      </c>
      <c r="B203" t="s">
        <v>411</v>
      </c>
      <c r="C203" t="s">
        <v>424</v>
      </c>
      <c r="D203" t="s">
        <v>24</v>
      </c>
      <c r="E203" t="s">
        <v>25</v>
      </c>
      <c r="F203">
        <v>1</v>
      </c>
      <c r="G203" s="2">
        <v>14</v>
      </c>
      <c r="H203" t="s">
        <v>26</v>
      </c>
      <c r="I203" t="s">
        <v>16</v>
      </c>
      <c r="J203" s="2">
        <v>14</v>
      </c>
    </row>
    <row r="204" spans="1:10">
      <c r="A204" t="s">
        <v>425</v>
      </c>
      <c r="B204" t="s">
        <v>411</v>
      </c>
      <c r="C204" t="s">
        <v>426</v>
      </c>
      <c r="D204" t="s">
        <v>115</v>
      </c>
      <c r="E204" t="s">
        <v>63</v>
      </c>
      <c r="F204">
        <v>1</v>
      </c>
      <c r="G204" s="2">
        <v>16</v>
      </c>
      <c r="H204" t="s">
        <v>15</v>
      </c>
      <c r="I204" t="s">
        <v>16</v>
      </c>
      <c r="J204" s="2">
        <v>16</v>
      </c>
    </row>
    <row r="205" spans="1:10">
      <c r="A205" t="s">
        <v>427</v>
      </c>
      <c r="B205" t="s">
        <v>411</v>
      </c>
      <c r="C205" t="s">
        <v>428</v>
      </c>
      <c r="D205" t="s">
        <v>29</v>
      </c>
      <c r="E205" t="s">
        <v>30</v>
      </c>
      <c r="F205">
        <v>2</v>
      </c>
      <c r="G205" s="2">
        <v>9</v>
      </c>
      <c r="H205" t="s">
        <v>15</v>
      </c>
      <c r="I205" t="s">
        <v>44</v>
      </c>
      <c r="J205" s="2">
        <v>18</v>
      </c>
    </row>
    <row r="206" spans="1:10">
      <c r="A206" t="s">
        <v>429</v>
      </c>
      <c r="B206" t="s">
        <v>411</v>
      </c>
      <c r="C206" t="s">
        <v>430</v>
      </c>
      <c r="D206" t="s">
        <v>38</v>
      </c>
      <c r="E206" t="s">
        <v>14</v>
      </c>
      <c r="F206">
        <v>1</v>
      </c>
      <c r="G206" s="2">
        <v>9</v>
      </c>
      <c r="H206" t="s">
        <v>26</v>
      </c>
      <c r="I206" t="s">
        <v>44</v>
      </c>
      <c r="J206" s="2">
        <v>9</v>
      </c>
    </row>
    <row r="207" spans="1:10">
      <c r="A207" t="s">
        <v>431</v>
      </c>
      <c r="B207" t="s">
        <v>411</v>
      </c>
      <c r="C207" t="s">
        <v>432</v>
      </c>
      <c r="D207" t="s">
        <v>13</v>
      </c>
      <c r="E207" t="s">
        <v>14</v>
      </c>
      <c r="F207">
        <v>4</v>
      </c>
      <c r="G207" s="2">
        <v>15</v>
      </c>
      <c r="H207" t="s">
        <v>26</v>
      </c>
      <c r="I207" t="s">
        <v>16</v>
      </c>
      <c r="J207" s="2">
        <v>60</v>
      </c>
    </row>
    <row r="208" spans="1:10">
      <c r="A208" t="s">
        <v>433</v>
      </c>
      <c r="B208" t="s">
        <v>434</v>
      </c>
      <c r="C208" t="s">
        <v>435</v>
      </c>
      <c r="D208" t="s">
        <v>24</v>
      </c>
      <c r="E208" t="s">
        <v>25</v>
      </c>
      <c r="F208">
        <v>1</v>
      </c>
      <c r="G208" s="2">
        <v>14</v>
      </c>
      <c r="H208" t="s">
        <v>26</v>
      </c>
      <c r="I208" t="s">
        <v>16</v>
      </c>
      <c r="J208" s="2">
        <v>14</v>
      </c>
    </row>
    <row r="209" spans="1:10">
      <c r="A209" t="s">
        <v>436</v>
      </c>
      <c r="B209" t="s">
        <v>434</v>
      </c>
      <c r="C209" t="s">
        <v>437</v>
      </c>
      <c r="D209" t="s">
        <v>35</v>
      </c>
      <c r="E209" t="s">
        <v>14</v>
      </c>
      <c r="F209">
        <v>3</v>
      </c>
      <c r="G209" s="2">
        <v>13</v>
      </c>
      <c r="H209" t="s">
        <v>41</v>
      </c>
      <c r="I209" t="s">
        <v>16</v>
      </c>
      <c r="J209" s="2">
        <v>39</v>
      </c>
    </row>
    <row r="210" spans="1:10">
      <c r="A210" t="s">
        <v>438</v>
      </c>
      <c r="B210" t="s">
        <v>434</v>
      </c>
      <c r="C210" t="s">
        <v>439</v>
      </c>
      <c r="D210" t="s">
        <v>51</v>
      </c>
      <c r="E210" t="s">
        <v>14</v>
      </c>
      <c r="F210">
        <v>2</v>
      </c>
      <c r="G210" s="2">
        <v>7</v>
      </c>
      <c r="H210" t="s">
        <v>41</v>
      </c>
      <c r="I210" t="s">
        <v>16</v>
      </c>
      <c r="J210" s="2">
        <v>14</v>
      </c>
    </row>
    <row r="211" spans="1:10">
      <c r="A211" t="s">
        <v>440</v>
      </c>
      <c r="B211" t="s">
        <v>434</v>
      </c>
      <c r="C211" t="s">
        <v>23</v>
      </c>
      <c r="D211" t="s">
        <v>38</v>
      </c>
      <c r="E211" t="s">
        <v>14</v>
      </c>
      <c r="F211">
        <v>1</v>
      </c>
      <c r="G211" s="2">
        <v>9</v>
      </c>
      <c r="H211" t="s">
        <v>15</v>
      </c>
      <c r="I211" t="s">
        <v>16</v>
      </c>
      <c r="J211" s="2">
        <v>9</v>
      </c>
    </row>
    <row r="212" spans="1:10">
      <c r="A212" t="s">
        <v>441</v>
      </c>
      <c r="B212" t="s">
        <v>434</v>
      </c>
      <c r="C212" t="s">
        <v>270</v>
      </c>
      <c r="D212" t="s">
        <v>21</v>
      </c>
      <c r="E212" t="s">
        <v>14</v>
      </c>
      <c r="F212">
        <v>2</v>
      </c>
      <c r="G212" s="2">
        <v>12</v>
      </c>
      <c r="H212" t="s">
        <v>41</v>
      </c>
      <c r="I212" t="s">
        <v>16</v>
      </c>
      <c r="J212" s="2">
        <v>24</v>
      </c>
    </row>
    <row r="213" spans="1:10">
      <c r="A213" t="s">
        <v>442</v>
      </c>
      <c r="B213" t="s">
        <v>434</v>
      </c>
      <c r="C213" t="s">
        <v>443</v>
      </c>
      <c r="D213" t="s">
        <v>35</v>
      </c>
      <c r="E213" t="s">
        <v>14</v>
      </c>
      <c r="F213">
        <v>1</v>
      </c>
      <c r="G213" s="2">
        <v>13</v>
      </c>
      <c r="H213" t="s">
        <v>26</v>
      </c>
      <c r="I213" t="s">
        <v>16</v>
      </c>
      <c r="J213" s="2">
        <v>13</v>
      </c>
    </row>
    <row r="214" spans="1:10">
      <c r="A214" t="s">
        <v>444</v>
      </c>
      <c r="B214" t="s">
        <v>434</v>
      </c>
      <c r="C214" t="s">
        <v>161</v>
      </c>
      <c r="D214" t="s">
        <v>35</v>
      </c>
      <c r="E214" t="s">
        <v>14</v>
      </c>
      <c r="F214">
        <v>1</v>
      </c>
      <c r="G214" s="2">
        <v>13</v>
      </c>
      <c r="H214" t="s">
        <v>41</v>
      </c>
      <c r="I214" t="s">
        <v>16</v>
      </c>
      <c r="J214" s="2">
        <v>13</v>
      </c>
    </row>
    <row r="215" spans="1:10">
      <c r="A215" t="s">
        <v>445</v>
      </c>
      <c r="B215" t="s">
        <v>434</v>
      </c>
      <c r="C215" t="s">
        <v>446</v>
      </c>
      <c r="D215" t="s">
        <v>38</v>
      </c>
      <c r="E215" t="s">
        <v>14</v>
      </c>
      <c r="F215">
        <v>1</v>
      </c>
      <c r="G215" s="2">
        <v>9</v>
      </c>
      <c r="H215" t="s">
        <v>15</v>
      </c>
      <c r="I215" t="s">
        <v>44</v>
      </c>
      <c r="J215" s="2">
        <v>9</v>
      </c>
    </row>
    <row r="216" spans="1:10">
      <c r="A216" t="s">
        <v>447</v>
      </c>
      <c r="B216" t="s">
        <v>434</v>
      </c>
      <c r="C216" t="s">
        <v>448</v>
      </c>
      <c r="D216" t="s">
        <v>35</v>
      </c>
      <c r="E216" t="s">
        <v>14</v>
      </c>
      <c r="F216">
        <v>1</v>
      </c>
      <c r="G216" s="2">
        <v>13</v>
      </c>
      <c r="H216" t="s">
        <v>26</v>
      </c>
      <c r="I216" t="s">
        <v>16</v>
      </c>
      <c r="J216" s="2">
        <v>13</v>
      </c>
    </row>
    <row r="217" spans="1:10">
      <c r="A217" t="s">
        <v>449</v>
      </c>
      <c r="B217" t="s">
        <v>434</v>
      </c>
      <c r="C217" t="s">
        <v>450</v>
      </c>
      <c r="D217" t="s">
        <v>21</v>
      </c>
      <c r="E217" t="s">
        <v>14</v>
      </c>
      <c r="F217">
        <v>1</v>
      </c>
      <c r="G217" s="2">
        <v>12</v>
      </c>
      <c r="H217" t="s">
        <v>41</v>
      </c>
      <c r="I217" t="s">
        <v>16</v>
      </c>
      <c r="J217" s="2">
        <v>12</v>
      </c>
    </row>
    <row r="218" spans="1:10">
      <c r="A218" t="s">
        <v>451</v>
      </c>
      <c r="B218" t="s">
        <v>452</v>
      </c>
      <c r="C218" t="s">
        <v>284</v>
      </c>
      <c r="D218" t="s">
        <v>54</v>
      </c>
      <c r="E218" t="s">
        <v>30</v>
      </c>
      <c r="F218">
        <v>4</v>
      </c>
      <c r="G218" s="2">
        <v>8</v>
      </c>
      <c r="H218" t="s">
        <v>26</v>
      </c>
      <c r="I218" t="s">
        <v>44</v>
      </c>
      <c r="J218" s="2">
        <v>32</v>
      </c>
    </row>
    <row r="219" spans="1:10">
      <c r="A219" t="s">
        <v>453</v>
      </c>
      <c r="B219" t="s">
        <v>452</v>
      </c>
      <c r="C219" t="s">
        <v>454</v>
      </c>
      <c r="D219" t="s">
        <v>51</v>
      </c>
      <c r="E219" t="s">
        <v>14</v>
      </c>
      <c r="F219">
        <v>1</v>
      </c>
      <c r="G219" s="2">
        <v>7</v>
      </c>
      <c r="H219" t="s">
        <v>15</v>
      </c>
      <c r="I219" t="s">
        <v>16</v>
      </c>
      <c r="J219" s="2">
        <v>7</v>
      </c>
    </row>
    <row r="220" spans="1:10">
      <c r="A220" t="s">
        <v>455</v>
      </c>
      <c r="B220" t="s">
        <v>452</v>
      </c>
      <c r="C220" t="s">
        <v>456</v>
      </c>
      <c r="D220" t="s">
        <v>54</v>
      </c>
      <c r="E220" t="s">
        <v>30</v>
      </c>
      <c r="F220">
        <v>1</v>
      </c>
      <c r="G220" s="2">
        <v>8</v>
      </c>
      <c r="H220" t="s">
        <v>15</v>
      </c>
      <c r="I220" t="s">
        <v>16</v>
      </c>
      <c r="J220" s="2">
        <v>8</v>
      </c>
    </row>
    <row r="221" spans="1:10">
      <c r="A221" t="s">
        <v>457</v>
      </c>
      <c r="B221" t="s">
        <v>452</v>
      </c>
      <c r="C221" t="s">
        <v>458</v>
      </c>
      <c r="D221" t="s">
        <v>54</v>
      </c>
      <c r="E221" t="s">
        <v>30</v>
      </c>
      <c r="F221">
        <v>1</v>
      </c>
      <c r="G221" s="2">
        <v>8</v>
      </c>
      <c r="H221" t="s">
        <v>26</v>
      </c>
      <c r="I221" t="s">
        <v>44</v>
      </c>
      <c r="J221" s="2">
        <v>8</v>
      </c>
    </row>
    <row r="222" spans="1:10">
      <c r="A222" t="s">
        <v>459</v>
      </c>
      <c r="B222" t="s">
        <v>452</v>
      </c>
      <c r="C222" t="s">
        <v>153</v>
      </c>
      <c r="D222" t="s">
        <v>38</v>
      </c>
      <c r="E222" t="s">
        <v>14</v>
      </c>
      <c r="F222">
        <v>1</v>
      </c>
      <c r="G222" s="2">
        <v>9</v>
      </c>
      <c r="H222" t="s">
        <v>26</v>
      </c>
      <c r="I222" t="s">
        <v>16</v>
      </c>
      <c r="J222" s="2">
        <v>9</v>
      </c>
    </row>
    <row r="223" spans="1:10">
      <c r="A223" t="s">
        <v>460</v>
      </c>
      <c r="B223" t="s">
        <v>452</v>
      </c>
      <c r="C223" t="s">
        <v>225</v>
      </c>
      <c r="D223" t="s">
        <v>21</v>
      </c>
      <c r="E223" t="s">
        <v>14</v>
      </c>
      <c r="F223">
        <v>1</v>
      </c>
      <c r="G223" s="2">
        <v>12</v>
      </c>
      <c r="H223" t="s">
        <v>41</v>
      </c>
      <c r="I223" t="s">
        <v>44</v>
      </c>
      <c r="J223" s="2">
        <v>12</v>
      </c>
    </row>
    <row r="224" spans="1:10">
      <c r="A224" t="s">
        <v>461</v>
      </c>
      <c r="B224" t="s">
        <v>452</v>
      </c>
      <c r="C224" t="s">
        <v>462</v>
      </c>
      <c r="D224" t="s">
        <v>38</v>
      </c>
      <c r="E224" t="s">
        <v>14</v>
      </c>
      <c r="F224">
        <v>2</v>
      </c>
      <c r="G224" s="2">
        <v>9</v>
      </c>
      <c r="H224" t="s">
        <v>15</v>
      </c>
      <c r="I224" t="s">
        <v>44</v>
      </c>
      <c r="J224" s="2">
        <v>18</v>
      </c>
    </row>
    <row r="225" spans="1:10">
      <c r="A225" t="s">
        <v>463</v>
      </c>
      <c r="B225" t="s">
        <v>452</v>
      </c>
      <c r="C225" t="s">
        <v>464</v>
      </c>
      <c r="D225" t="s">
        <v>51</v>
      </c>
      <c r="E225" t="s">
        <v>14</v>
      </c>
      <c r="F225">
        <v>1</v>
      </c>
      <c r="G225" s="2">
        <v>7</v>
      </c>
      <c r="H225" t="s">
        <v>41</v>
      </c>
      <c r="I225" t="s">
        <v>44</v>
      </c>
      <c r="J225" s="2">
        <v>7</v>
      </c>
    </row>
    <row r="226" spans="1:10">
      <c r="A226" t="s">
        <v>465</v>
      </c>
      <c r="B226" t="s">
        <v>466</v>
      </c>
      <c r="C226" t="s">
        <v>467</v>
      </c>
      <c r="D226" t="s">
        <v>35</v>
      </c>
      <c r="E226" t="s">
        <v>14</v>
      </c>
      <c r="F226">
        <v>1</v>
      </c>
      <c r="G226" s="2">
        <v>13</v>
      </c>
      <c r="H226" t="s">
        <v>331</v>
      </c>
      <c r="I226" t="s">
        <v>16</v>
      </c>
      <c r="J226" s="2">
        <v>13</v>
      </c>
    </row>
    <row r="227" spans="1:10">
      <c r="A227" t="s">
        <v>468</v>
      </c>
      <c r="B227" t="s">
        <v>466</v>
      </c>
      <c r="C227" t="s">
        <v>469</v>
      </c>
      <c r="D227" t="s">
        <v>38</v>
      </c>
      <c r="E227" t="s">
        <v>14</v>
      </c>
      <c r="F227">
        <v>1</v>
      </c>
      <c r="G227" s="2">
        <v>9</v>
      </c>
      <c r="H227" t="s">
        <v>26</v>
      </c>
      <c r="I227" t="s">
        <v>16</v>
      </c>
      <c r="J227" s="2">
        <v>9</v>
      </c>
    </row>
    <row r="228" spans="1:10">
      <c r="A228" t="s">
        <v>470</v>
      </c>
      <c r="B228" t="s">
        <v>466</v>
      </c>
      <c r="C228" t="s">
        <v>471</v>
      </c>
      <c r="D228" t="s">
        <v>72</v>
      </c>
      <c r="E228" t="s">
        <v>14</v>
      </c>
      <c r="F228">
        <v>2</v>
      </c>
      <c r="G228" s="2">
        <v>14</v>
      </c>
      <c r="H228" t="s">
        <v>41</v>
      </c>
      <c r="I228" t="s">
        <v>16</v>
      </c>
      <c r="J228" s="2">
        <v>28</v>
      </c>
    </row>
    <row r="229" spans="1:10">
      <c r="A229" t="s">
        <v>472</v>
      </c>
      <c r="B229" t="s">
        <v>466</v>
      </c>
      <c r="C229" t="s">
        <v>473</v>
      </c>
      <c r="D229" t="s">
        <v>13</v>
      </c>
      <c r="E229" t="s">
        <v>14</v>
      </c>
      <c r="F229">
        <v>4</v>
      </c>
      <c r="G229" s="2">
        <v>15</v>
      </c>
      <c r="H229" t="s">
        <v>41</v>
      </c>
      <c r="I229" t="s">
        <v>44</v>
      </c>
      <c r="J229" s="2"/>
    </row>
    <row r="230" spans="1:10">
      <c r="A230" t="s">
        <v>474</v>
      </c>
      <c r="B230" t="s">
        <v>466</v>
      </c>
      <c r="C230" t="s">
        <v>349</v>
      </c>
      <c r="D230" t="s">
        <v>21</v>
      </c>
      <c r="E230" t="s">
        <v>14</v>
      </c>
      <c r="F230">
        <v>2</v>
      </c>
      <c r="G230" s="2">
        <v>12</v>
      </c>
      <c r="H230" t="s">
        <v>15</v>
      </c>
      <c r="I230" t="s">
        <v>44</v>
      </c>
      <c r="J230" s="2">
        <v>24</v>
      </c>
    </row>
    <row r="231" spans="1:10">
      <c r="A231" t="s">
        <v>475</v>
      </c>
      <c r="B231" t="s">
        <v>466</v>
      </c>
      <c r="C231" t="s">
        <v>476</v>
      </c>
      <c r="D231" t="s">
        <v>62</v>
      </c>
      <c r="E231" t="s">
        <v>63</v>
      </c>
      <c r="F231">
        <v>2</v>
      </c>
      <c r="G231" s="2">
        <v>10</v>
      </c>
      <c r="H231" t="s">
        <v>26</v>
      </c>
      <c r="I231" t="s">
        <v>44</v>
      </c>
      <c r="J231" s="2">
        <v>20</v>
      </c>
    </row>
    <row r="232" spans="1:10">
      <c r="A232" t="s">
        <v>477</v>
      </c>
      <c r="B232" t="s">
        <v>466</v>
      </c>
      <c r="C232" t="s">
        <v>478</v>
      </c>
      <c r="D232" t="s">
        <v>62</v>
      </c>
      <c r="E232" t="s">
        <v>63</v>
      </c>
      <c r="F232">
        <v>1</v>
      </c>
      <c r="G232" s="2">
        <v>10</v>
      </c>
      <c r="H232" t="s">
        <v>15</v>
      </c>
      <c r="I232" t="s">
        <v>16</v>
      </c>
      <c r="J232" s="2">
        <v>10</v>
      </c>
    </row>
    <row r="233" spans="1:10">
      <c r="A233" t="s">
        <v>479</v>
      </c>
      <c r="B233" t="s">
        <v>466</v>
      </c>
      <c r="C233" t="s">
        <v>400</v>
      </c>
      <c r="D233" t="s">
        <v>35</v>
      </c>
      <c r="E233" t="s">
        <v>14</v>
      </c>
      <c r="F233">
        <v>1</v>
      </c>
      <c r="G233" s="2">
        <v>13</v>
      </c>
      <c r="H233" t="s">
        <v>15</v>
      </c>
      <c r="I233" t="s">
        <v>16</v>
      </c>
      <c r="J233" s="2">
        <v>13</v>
      </c>
    </row>
    <row r="234" spans="1:10">
      <c r="A234" t="s">
        <v>480</v>
      </c>
      <c r="B234" t="s">
        <v>466</v>
      </c>
      <c r="C234" t="s">
        <v>481</v>
      </c>
      <c r="D234" t="s">
        <v>35</v>
      </c>
      <c r="E234" t="s">
        <v>14</v>
      </c>
      <c r="F234">
        <v>1</v>
      </c>
      <c r="G234" s="2">
        <v>13</v>
      </c>
      <c r="H234" t="s">
        <v>41</v>
      </c>
      <c r="I234" t="s">
        <v>16</v>
      </c>
      <c r="J234" s="2">
        <v>13</v>
      </c>
    </row>
    <row r="235" spans="1:10">
      <c r="A235" t="s">
        <v>482</v>
      </c>
      <c r="B235" t="s">
        <v>483</v>
      </c>
      <c r="C235" t="s">
        <v>484</v>
      </c>
      <c r="D235" t="s">
        <v>38</v>
      </c>
      <c r="E235" t="s">
        <v>14</v>
      </c>
      <c r="F235">
        <v>2</v>
      </c>
      <c r="G235" s="2">
        <v>9</v>
      </c>
      <c r="H235" t="s">
        <v>41</v>
      </c>
      <c r="I235" t="s">
        <v>16</v>
      </c>
      <c r="J235" s="2">
        <v>18</v>
      </c>
    </row>
    <row r="236" spans="1:10">
      <c r="A236" t="s">
        <v>485</v>
      </c>
      <c r="B236" t="s">
        <v>483</v>
      </c>
      <c r="C236" t="s">
        <v>486</v>
      </c>
      <c r="D236" t="s">
        <v>105</v>
      </c>
      <c r="E236" t="s">
        <v>25</v>
      </c>
      <c r="F236">
        <v>1</v>
      </c>
      <c r="G236" s="2">
        <v>12</v>
      </c>
      <c r="H236" t="s">
        <v>15</v>
      </c>
      <c r="I236" t="s">
        <v>44</v>
      </c>
      <c r="J236" s="2">
        <v>12</v>
      </c>
    </row>
    <row r="237" spans="1:10">
      <c r="A237" t="s">
        <v>487</v>
      </c>
      <c r="B237" t="s">
        <v>483</v>
      </c>
      <c r="C237" t="s">
        <v>488</v>
      </c>
      <c r="D237" t="s">
        <v>29</v>
      </c>
      <c r="E237" t="s">
        <v>30</v>
      </c>
      <c r="F237">
        <v>1</v>
      </c>
      <c r="G237" s="2">
        <v>9</v>
      </c>
      <c r="H237" t="s">
        <v>26</v>
      </c>
      <c r="I237" t="s">
        <v>16</v>
      </c>
      <c r="J237" s="2">
        <v>9</v>
      </c>
    </row>
    <row r="238" spans="1:10">
      <c r="A238" t="s">
        <v>489</v>
      </c>
      <c r="B238" t="s">
        <v>483</v>
      </c>
      <c r="C238" t="s">
        <v>490</v>
      </c>
      <c r="D238" t="s">
        <v>24</v>
      </c>
      <c r="E238" t="s">
        <v>25</v>
      </c>
      <c r="F238">
        <v>1</v>
      </c>
      <c r="G238" s="2">
        <v>14</v>
      </c>
      <c r="H238" t="s">
        <v>41</v>
      </c>
      <c r="I238" t="s">
        <v>44</v>
      </c>
      <c r="J238" s="2">
        <v>14</v>
      </c>
    </row>
    <row r="239" spans="1:10">
      <c r="A239" t="s">
        <v>491</v>
      </c>
      <c r="B239" t="s">
        <v>483</v>
      </c>
      <c r="C239" t="s">
        <v>492</v>
      </c>
      <c r="D239" t="s">
        <v>13</v>
      </c>
      <c r="E239" t="s">
        <v>14</v>
      </c>
      <c r="F239">
        <v>2</v>
      </c>
      <c r="G239" s="2">
        <v>15</v>
      </c>
      <c r="H239" t="s">
        <v>26</v>
      </c>
      <c r="I239" t="s">
        <v>16</v>
      </c>
      <c r="J239" s="2">
        <v>30</v>
      </c>
    </row>
    <row r="240" spans="1:10">
      <c r="A240" t="s">
        <v>493</v>
      </c>
      <c r="B240" t="s">
        <v>483</v>
      </c>
      <c r="C240" t="s">
        <v>404</v>
      </c>
      <c r="D240" t="s">
        <v>35</v>
      </c>
      <c r="E240" t="s">
        <v>14</v>
      </c>
      <c r="F240">
        <v>1</v>
      </c>
      <c r="G240" s="2">
        <v>13</v>
      </c>
      <c r="H240" t="s">
        <v>41</v>
      </c>
      <c r="I240" t="s">
        <v>16</v>
      </c>
      <c r="J240" s="2">
        <v>13</v>
      </c>
    </row>
    <row r="241" spans="1:10">
      <c r="A241" t="s">
        <v>494</v>
      </c>
      <c r="B241" t="s">
        <v>483</v>
      </c>
      <c r="C241" t="s">
        <v>495</v>
      </c>
      <c r="D241" t="s">
        <v>105</v>
      </c>
      <c r="E241" t="s">
        <v>25</v>
      </c>
      <c r="F241">
        <v>1</v>
      </c>
      <c r="G241" s="2">
        <v>12</v>
      </c>
      <c r="H241" t="s">
        <v>26</v>
      </c>
      <c r="I241" t="s">
        <v>16</v>
      </c>
      <c r="J241" s="2">
        <v>12</v>
      </c>
    </row>
    <row r="242" spans="1:10">
      <c r="A242" t="s">
        <v>496</v>
      </c>
      <c r="B242" t="s">
        <v>483</v>
      </c>
      <c r="C242" t="s">
        <v>497</v>
      </c>
      <c r="D242" t="s">
        <v>35</v>
      </c>
      <c r="E242" t="s">
        <v>14</v>
      </c>
      <c r="F242">
        <v>2</v>
      </c>
      <c r="G242" s="2">
        <v>13</v>
      </c>
      <c r="H242" t="s">
        <v>26</v>
      </c>
      <c r="I242" t="s">
        <v>16</v>
      </c>
      <c r="J242" s="2">
        <v>26</v>
      </c>
    </row>
    <row r="243" spans="1:10">
      <c r="A243" t="s">
        <v>498</v>
      </c>
      <c r="B243" t="s">
        <v>483</v>
      </c>
      <c r="C243" t="s">
        <v>165</v>
      </c>
      <c r="D243" t="s">
        <v>54</v>
      </c>
      <c r="E243" t="s">
        <v>30</v>
      </c>
      <c r="F243">
        <v>3</v>
      </c>
      <c r="G243" s="2">
        <v>8</v>
      </c>
      <c r="H243" t="s">
        <v>15</v>
      </c>
      <c r="I243" t="s">
        <v>16</v>
      </c>
      <c r="J243" s="2">
        <v>24</v>
      </c>
    </row>
    <row r="244" spans="1:10">
      <c r="A244" t="s">
        <v>499</v>
      </c>
      <c r="B244" t="s">
        <v>483</v>
      </c>
      <c r="C244" t="s">
        <v>500</v>
      </c>
      <c r="D244" t="s">
        <v>105</v>
      </c>
      <c r="E244" t="s">
        <v>25</v>
      </c>
      <c r="F244">
        <v>1</v>
      </c>
      <c r="G244" s="2">
        <v>12</v>
      </c>
      <c r="H244" t="s">
        <v>15</v>
      </c>
      <c r="I244" t="s">
        <v>44</v>
      </c>
      <c r="J244" s="2">
        <v>12</v>
      </c>
    </row>
    <row r="245" spans="1:10">
      <c r="A245" t="s">
        <v>501</v>
      </c>
      <c r="B245" t="s">
        <v>483</v>
      </c>
      <c r="C245" t="s">
        <v>502</v>
      </c>
      <c r="D245" t="s">
        <v>38</v>
      </c>
      <c r="E245" t="s">
        <v>14</v>
      </c>
      <c r="F245">
        <v>1</v>
      </c>
      <c r="G245" s="2">
        <v>9</v>
      </c>
      <c r="H245" t="s">
        <v>26</v>
      </c>
      <c r="I245" t="s">
        <v>16</v>
      </c>
      <c r="J245" s="2">
        <v>9</v>
      </c>
    </row>
    <row r="246" spans="1:10">
      <c r="A246" t="s">
        <v>503</v>
      </c>
      <c r="B246" t="s">
        <v>483</v>
      </c>
      <c r="C246" t="s">
        <v>504</v>
      </c>
      <c r="D246" t="s">
        <v>51</v>
      </c>
      <c r="E246" t="s">
        <v>14</v>
      </c>
      <c r="F246">
        <v>1</v>
      </c>
      <c r="G246" s="2">
        <v>7</v>
      </c>
      <c r="H246" t="s">
        <v>15</v>
      </c>
      <c r="I246" t="s">
        <v>16</v>
      </c>
      <c r="J246" s="2">
        <v>7</v>
      </c>
    </row>
    <row r="247" spans="1:10">
      <c r="A247" t="s">
        <v>505</v>
      </c>
      <c r="B247" t="s">
        <v>506</v>
      </c>
      <c r="C247" t="s">
        <v>507</v>
      </c>
      <c r="D247" t="s">
        <v>13</v>
      </c>
      <c r="E247" t="s">
        <v>14</v>
      </c>
      <c r="F247">
        <v>1</v>
      </c>
      <c r="G247" s="2">
        <v>15</v>
      </c>
      <c r="H247" t="s">
        <v>26</v>
      </c>
      <c r="I247" t="s">
        <v>44</v>
      </c>
      <c r="J247" s="2">
        <v>15</v>
      </c>
    </row>
    <row r="248" spans="1:10">
      <c r="A248" t="s">
        <v>508</v>
      </c>
      <c r="B248" t="s">
        <v>506</v>
      </c>
      <c r="C248" t="s">
        <v>509</v>
      </c>
      <c r="D248" t="s">
        <v>38</v>
      </c>
      <c r="E248" t="s">
        <v>14</v>
      </c>
      <c r="F248">
        <v>1</v>
      </c>
      <c r="G248" s="2">
        <v>9</v>
      </c>
      <c r="H248" t="s">
        <v>15</v>
      </c>
      <c r="I248" t="s">
        <v>16</v>
      </c>
      <c r="J248" s="2">
        <v>9</v>
      </c>
    </row>
    <row r="249" spans="1:10">
      <c r="A249" t="s">
        <v>510</v>
      </c>
      <c r="B249" t="s">
        <v>506</v>
      </c>
      <c r="C249" t="s">
        <v>473</v>
      </c>
      <c r="D249" t="s">
        <v>72</v>
      </c>
      <c r="E249" t="s">
        <v>14</v>
      </c>
      <c r="F249">
        <v>1</v>
      </c>
      <c r="G249" s="2">
        <v>14</v>
      </c>
      <c r="H249" t="s">
        <v>26</v>
      </c>
      <c r="I249" t="s">
        <v>16</v>
      </c>
      <c r="J249" s="2">
        <v>14</v>
      </c>
    </row>
    <row r="250" spans="1:10">
      <c r="A250" t="s">
        <v>511</v>
      </c>
      <c r="B250" t="s">
        <v>506</v>
      </c>
      <c r="C250" t="s">
        <v>512</v>
      </c>
      <c r="D250" t="s">
        <v>35</v>
      </c>
      <c r="E250" t="s">
        <v>14</v>
      </c>
      <c r="F250">
        <v>1</v>
      </c>
      <c r="G250" s="2">
        <v>13</v>
      </c>
      <c r="H250" t="s">
        <v>15</v>
      </c>
      <c r="I250" t="s">
        <v>16</v>
      </c>
      <c r="J250" s="2">
        <v>13</v>
      </c>
    </row>
    <row r="251" spans="1:10">
      <c r="A251" t="s">
        <v>513</v>
      </c>
      <c r="B251" t="s">
        <v>506</v>
      </c>
      <c r="C251" t="s">
        <v>514</v>
      </c>
      <c r="D251" t="s">
        <v>24</v>
      </c>
      <c r="E251" t="s">
        <v>25</v>
      </c>
      <c r="F251">
        <v>1</v>
      </c>
      <c r="G251" s="2">
        <v>14</v>
      </c>
      <c r="H251" t="s">
        <v>26</v>
      </c>
      <c r="I251" t="s">
        <v>44</v>
      </c>
      <c r="J251" s="2">
        <v>14</v>
      </c>
    </row>
    <row r="252" spans="1:10">
      <c r="A252" t="s">
        <v>515</v>
      </c>
      <c r="B252" t="s">
        <v>506</v>
      </c>
      <c r="C252" t="s">
        <v>516</v>
      </c>
      <c r="D252" t="s">
        <v>54</v>
      </c>
      <c r="E252" t="s">
        <v>30</v>
      </c>
      <c r="F252">
        <v>1</v>
      </c>
      <c r="G252" s="2">
        <v>8</v>
      </c>
      <c r="H252" t="s">
        <v>26</v>
      </c>
      <c r="I252" t="s">
        <v>16</v>
      </c>
      <c r="J252" s="2">
        <v>8</v>
      </c>
    </row>
    <row r="253" spans="1:10">
      <c r="A253" t="s">
        <v>517</v>
      </c>
      <c r="B253" t="s">
        <v>506</v>
      </c>
      <c r="C253" t="s">
        <v>518</v>
      </c>
      <c r="D253" t="s">
        <v>35</v>
      </c>
      <c r="E253" t="s">
        <v>14</v>
      </c>
      <c r="F253">
        <v>3</v>
      </c>
      <c r="G253" s="2">
        <v>13</v>
      </c>
      <c r="H253" t="s">
        <v>26</v>
      </c>
      <c r="I253" t="s">
        <v>44</v>
      </c>
      <c r="J253" s="2">
        <v>39</v>
      </c>
    </row>
    <row r="254" spans="1:10">
      <c r="A254" t="s">
        <v>519</v>
      </c>
      <c r="B254" t="s">
        <v>506</v>
      </c>
      <c r="C254" t="s">
        <v>520</v>
      </c>
      <c r="D254" t="s">
        <v>38</v>
      </c>
      <c r="E254" t="s">
        <v>14</v>
      </c>
      <c r="F254">
        <v>3</v>
      </c>
      <c r="G254" s="2">
        <v>9</v>
      </c>
      <c r="H254" t="s">
        <v>26</v>
      </c>
      <c r="I254" t="s">
        <v>44</v>
      </c>
      <c r="J254" s="2">
        <v>27</v>
      </c>
    </row>
    <row r="255" spans="1:10">
      <c r="A255" t="s">
        <v>521</v>
      </c>
      <c r="B255" t="s">
        <v>506</v>
      </c>
      <c r="C255" t="s">
        <v>522</v>
      </c>
      <c r="D255" t="s">
        <v>38</v>
      </c>
      <c r="E255" t="s">
        <v>14</v>
      </c>
      <c r="F255">
        <v>1</v>
      </c>
      <c r="G255" s="2">
        <v>9</v>
      </c>
      <c r="H255" t="s">
        <v>41</v>
      </c>
      <c r="I255" t="s">
        <v>44</v>
      </c>
      <c r="J255" s="2">
        <v>9</v>
      </c>
    </row>
    <row r="256" spans="1:10">
      <c r="A256" t="s">
        <v>523</v>
      </c>
      <c r="B256" t="s">
        <v>506</v>
      </c>
      <c r="C256" t="s">
        <v>40</v>
      </c>
      <c r="D256" t="s">
        <v>13</v>
      </c>
      <c r="E256" t="s">
        <v>14</v>
      </c>
      <c r="F256">
        <v>1</v>
      </c>
      <c r="G256" s="2">
        <v>15</v>
      </c>
      <c r="H256" t="s">
        <v>26</v>
      </c>
      <c r="I256" t="s">
        <v>44</v>
      </c>
      <c r="J256" s="2">
        <v>15</v>
      </c>
    </row>
    <row r="257" spans="1:10">
      <c r="A257" t="s">
        <v>524</v>
      </c>
      <c r="B257" t="s">
        <v>506</v>
      </c>
      <c r="C257" t="s">
        <v>525</v>
      </c>
      <c r="D257" t="s">
        <v>115</v>
      </c>
      <c r="E257" t="s">
        <v>63</v>
      </c>
      <c r="F257">
        <v>1</v>
      </c>
      <c r="G257" s="2">
        <v>16</v>
      </c>
      <c r="H257" t="s">
        <v>15</v>
      </c>
      <c r="I257" t="s">
        <v>16</v>
      </c>
      <c r="J257" s="2">
        <v>16</v>
      </c>
    </row>
    <row r="258" spans="1:10">
      <c r="A258" t="s">
        <v>526</v>
      </c>
      <c r="B258" t="s">
        <v>506</v>
      </c>
      <c r="C258" t="s">
        <v>310</v>
      </c>
      <c r="D258" t="s">
        <v>24</v>
      </c>
      <c r="E258" t="s">
        <v>25</v>
      </c>
      <c r="F258">
        <v>1</v>
      </c>
      <c r="G258" s="2">
        <v>14</v>
      </c>
      <c r="H258" t="s">
        <v>26</v>
      </c>
      <c r="I258" t="s">
        <v>16</v>
      </c>
      <c r="J258" s="2">
        <v>14</v>
      </c>
    </row>
    <row r="259" spans="1:10">
      <c r="A259" t="s">
        <v>527</v>
      </c>
      <c r="B259" t="s">
        <v>506</v>
      </c>
      <c r="C259" t="s">
        <v>528</v>
      </c>
      <c r="D259" t="s">
        <v>29</v>
      </c>
      <c r="E259" t="s">
        <v>30</v>
      </c>
      <c r="F259">
        <v>1</v>
      </c>
      <c r="G259" s="2">
        <v>9</v>
      </c>
      <c r="H259" t="s">
        <v>15</v>
      </c>
      <c r="I259" t="s">
        <v>44</v>
      </c>
      <c r="J259" s="2">
        <v>9</v>
      </c>
    </row>
    <row r="260" spans="1:10">
      <c r="A260" t="s">
        <v>529</v>
      </c>
      <c r="B260" t="s">
        <v>506</v>
      </c>
      <c r="C260" t="s">
        <v>530</v>
      </c>
      <c r="D260" t="s">
        <v>51</v>
      </c>
      <c r="E260" t="s">
        <v>14</v>
      </c>
      <c r="F260">
        <v>1</v>
      </c>
      <c r="G260" s="2">
        <v>7</v>
      </c>
      <c r="H260" t="s">
        <v>26</v>
      </c>
      <c r="I260" t="s">
        <v>44</v>
      </c>
      <c r="J260" s="2">
        <v>7</v>
      </c>
    </row>
    <row r="261" spans="1:10">
      <c r="A261" t="s">
        <v>531</v>
      </c>
      <c r="B261" t="s">
        <v>506</v>
      </c>
      <c r="C261" t="s">
        <v>279</v>
      </c>
      <c r="D261" t="s">
        <v>62</v>
      </c>
      <c r="E261" t="s">
        <v>63</v>
      </c>
      <c r="F261">
        <v>1</v>
      </c>
      <c r="G261" s="2">
        <v>10</v>
      </c>
      <c r="H261" t="s">
        <v>26</v>
      </c>
      <c r="I261" t="s">
        <v>16</v>
      </c>
      <c r="J261" s="2">
        <v>10</v>
      </c>
    </row>
    <row r="262" spans="1:10">
      <c r="A262" t="s">
        <v>532</v>
      </c>
      <c r="B262" t="s">
        <v>506</v>
      </c>
      <c r="C262" t="s">
        <v>533</v>
      </c>
      <c r="D262" t="s">
        <v>115</v>
      </c>
      <c r="E262" t="s">
        <v>63</v>
      </c>
      <c r="F262">
        <v>1</v>
      </c>
      <c r="G262" s="2">
        <v>16</v>
      </c>
      <c r="H262" t="s">
        <v>26</v>
      </c>
      <c r="I262" t="s">
        <v>16</v>
      </c>
      <c r="J262" s="2">
        <v>16</v>
      </c>
    </row>
    <row r="263" spans="1:10">
      <c r="A263" t="s">
        <v>534</v>
      </c>
      <c r="B263" t="s">
        <v>506</v>
      </c>
      <c r="C263" t="s">
        <v>535</v>
      </c>
      <c r="D263" t="s">
        <v>51</v>
      </c>
      <c r="E263" t="s">
        <v>14</v>
      </c>
      <c r="F263">
        <v>1</v>
      </c>
      <c r="G263" s="2">
        <v>7</v>
      </c>
      <c r="H263" t="s">
        <v>26</v>
      </c>
      <c r="I263" t="s">
        <v>16</v>
      </c>
      <c r="J263" s="2">
        <v>7</v>
      </c>
    </row>
    <row r="264" spans="1:10">
      <c r="A264" t="s">
        <v>536</v>
      </c>
      <c r="B264" t="s">
        <v>506</v>
      </c>
      <c r="C264" t="s">
        <v>281</v>
      </c>
      <c r="D264" t="s">
        <v>35</v>
      </c>
      <c r="E264" t="s">
        <v>14</v>
      </c>
      <c r="F264">
        <v>1</v>
      </c>
      <c r="G264" s="2">
        <v>13</v>
      </c>
      <c r="H264" t="s">
        <v>41</v>
      </c>
      <c r="I264" t="s">
        <v>16</v>
      </c>
      <c r="J264" s="2">
        <v>13</v>
      </c>
    </row>
    <row r="265" spans="1:10">
      <c r="A265" t="s">
        <v>537</v>
      </c>
      <c r="B265" t="s">
        <v>506</v>
      </c>
      <c r="C265" t="s">
        <v>538</v>
      </c>
      <c r="D265" t="s">
        <v>54</v>
      </c>
      <c r="E265" t="s">
        <v>30</v>
      </c>
      <c r="F265">
        <v>3</v>
      </c>
      <c r="G265" s="2">
        <v>8</v>
      </c>
      <c r="H265" t="s">
        <v>15</v>
      </c>
      <c r="I265" t="s">
        <v>44</v>
      </c>
      <c r="J265" s="2">
        <v>24</v>
      </c>
    </row>
    <row r="266" spans="1:10">
      <c r="A266" t="s">
        <v>539</v>
      </c>
      <c r="B266" t="s">
        <v>506</v>
      </c>
      <c r="C266" t="s">
        <v>540</v>
      </c>
      <c r="D266" t="s">
        <v>54</v>
      </c>
      <c r="E266" t="s">
        <v>30</v>
      </c>
      <c r="F266">
        <v>1</v>
      </c>
      <c r="G266" s="2">
        <v>8</v>
      </c>
      <c r="H266" t="s">
        <v>15</v>
      </c>
      <c r="I266" t="s">
        <v>44</v>
      </c>
      <c r="J266" s="2">
        <v>8</v>
      </c>
    </row>
    <row r="267" spans="1:10">
      <c r="A267" t="s">
        <v>541</v>
      </c>
      <c r="B267" t="s">
        <v>542</v>
      </c>
      <c r="C267" t="s">
        <v>543</v>
      </c>
      <c r="D267" t="s">
        <v>35</v>
      </c>
      <c r="E267" t="s">
        <v>14</v>
      </c>
      <c r="F267">
        <v>1</v>
      </c>
      <c r="G267" s="2">
        <v>13</v>
      </c>
      <c r="H267" t="s">
        <v>15</v>
      </c>
      <c r="I267" t="s">
        <v>16</v>
      </c>
      <c r="J267" s="2">
        <v>13</v>
      </c>
    </row>
    <row r="268" spans="1:10">
      <c r="A268" t="s">
        <v>544</v>
      </c>
      <c r="B268" t="s">
        <v>542</v>
      </c>
      <c r="C268" t="s">
        <v>545</v>
      </c>
      <c r="D268" t="s">
        <v>29</v>
      </c>
      <c r="E268" t="s">
        <v>30</v>
      </c>
      <c r="F268">
        <v>1</v>
      </c>
      <c r="G268" s="2">
        <v>9</v>
      </c>
      <c r="H268" t="s">
        <v>26</v>
      </c>
      <c r="I268" t="s">
        <v>16</v>
      </c>
      <c r="J268" s="2">
        <v>9</v>
      </c>
    </row>
    <row r="269" spans="1:10">
      <c r="A269" t="s">
        <v>546</v>
      </c>
      <c r="B269" t="s">
        <v>542</v>
      </c>
      <c r="C269" t="s">
        <v>203</v>
      </c>
      <c r="D269" t="s">
        <v>35</v>
      </c>
      <c r="E269" t="s">
        <v>14</v>
      </c>
      <c r="F269">
        <v>1</v>
      </c>
      <c r="G269" s="2">
        <v>13</v>
      </c>
      <c r="H269" t="s">
        <v>41</v>
      </c>
      <c r="I269" t="s">
        <v>44</v>
      </c>
      <c r="J269" s="2">
        <v>13</v>
      </c>
    </row>
    <row r="270" spans="1:10">
      <c r="A270" t="s">
        <v>547</v>
      </c>
      <c r="B270" t="s">
        <v>542</v>
      </c>
      <c r="C270" t="s">
        <v>418</v>
      </c>
      <c r="D270" t="s">
        <v>35</v>
      </c>
      <c r="E270" t="s">
        <v>14</v>
      </c>
      <c r="F270">
        <v>2</v>
      </c>
      <c r="G270" s="2">
        <v>13</v>
      </c>
      <c r="H270" t="s">
        <v>15</v>
      </c>
      <c r="I270" t="s">
        <v>16</v>
      </c>
      <c r="J270" s="2">
        <v>26</v>
      </c>
    </row>
    <row r="271" spans="1:10">
      <c r="A271" t="s">
        <v>548</v>
      </c>
      <c r="B271" t="s">
        <v>542</v>
      </c>
      <c r="C271" t="s">
        <v>549</v>
      </c>
      <c r="D271" t="s">
        <v>72</v>
      </c>
      <c r="E271" t="s">
        <v>14</v>
      </c>
      <c r="F271">
        <v>1</v>
      </c>
      <c r="G271" s="2">
        <v>14</v>
      </c>
      <c r="H271" t="s">
        <v>15</v>
      </c>
      <c r="I271" t="s">
        <v>16</v>
      </c>
      <c r="J271" s="2">
        <v>14</v>
      </c>
    </row>
    <row r="272" spans="1:10">
      <c r="A272" t="s">
        <v>550</v>
      </c>
      <c r="B272" t="s">
        <v>542</v>
      </c>
      <c r="C272" t="s">
        <v>551</v>
      </c>
      <c r="D272" t="s">
        <v>35</v>
      </c>
      <c r="E272" t="s">
        <v>14</v>
      </c>
      <c r="F272">
        <v>1</v>
      </c>
      <c r="G272" s="2">
        <v>13</v>
      </c>
      <c r="H272" t="s">
        <v>26</v>
      </c>
      <c r="I272" t="s">
        <v>44</v>
      </c>
      <c r="J272" s="2">
        <v>13</v>
      </c>
    </row>
    <row r="273" spans="1:10">
      <c r="A273" t="s">
        <v>552</v>
      </c>
      <c r="B273" t="s">
        <v>542</v>
      </c>
      <c r="C273" t="s">
        <v>129</v>
      </c>
      <c r="D273" t="s">
        <v>24</v>
      </c>
      <c r="E273" t="s">
        <v>25</v>
      </c>
      <c r="F273">
        <v>1</v>
      </c>
      <c r="G273" s="2">
        <v>14</v>
      </c>
      <c r="H273" t="s">
        <v>15</v>
      </c>
      <c r="I273" t="s">
        <v>44</v>
      </c>
      <c r="J273" s="2">
        <v>14</v>
      </c>
    </row>
    <row r="274" spans="1:10">
      <c r="A274" t="s">
        <v>553</v>
      </c>
      <c r="B274" t="s">
        <v>542</v>
      </c>
      <c r="C274" t="s">
        <v>554</v>
      </c>
      <c r="D274" t="s">
        <v>38</v>
      </c>
      <c r="E274" t="s">
        <v>14</v>
      </c>
      <c r="F274">
        <v>2</v>
      </c>
      <c r="G274" s="2">
        <v>9</v>
      </c>
      <c r="H274" t="s">
        <v>26</v>
      </c>
      <c r="I274" t="s">
        <v>16</v>
      </c>
      <c r="J274" s="2">
        <v>18</v>
      </c>
    </row>
    <row r="275" spans="1:10">
      <c r="A275" t="s">
        <v>555</v>
      </c>
      <c r="B275" t="s">
        <v>542</v>
      </c>
      <c r="C275" t="s">
        <v>556</v>
      </c>
      <c r="D275" t="s">
        <v>35</v>
      </c>
      <c r="E275" t="s">
        <v>14</v>
      </c>
      <c r="F275">
        <v>1</v>
      </c>
      <c r="G275" s="2">
        <v>13</v>
      </c>
      <c r="H275" t="s">
        <v>15</v>
      </c>
      <c r="I275" t="s">
        <v>16</v>
      </c>
      <c r="J275" s="2">
        <v>13</v>
      </c>
    </row>
    <row r="276" spans="1:10">
      <c r="A276" t="s">
        <v>557</v>
      </c>
      <c r="B276" t="s">
        <v>542</v>
      </c>
      <c r="C276" t="s">
        <v>558</v>
      </c>
      <c r="D276" t="s">
        <v>35</v>
      </c>
      <c r="E276" t="s">
        <v>14</v>
      </c>
      <c r="F276">
        <v>1</v>
      </c>
      <c r="G276" s="2">
        <v>13</v>
      </c>
      <c r="H276" t="s">
        <v>41</v>
      </c>
      <c r="I276" t="s">
        <v>44</v>
      </c>
      <c r="J276" s="2">
        <v>13</v>
      </c>
    </row>
    <row r="277" spans="1:10">
      <c r="A277" t="s">
        <v>559</v>
      </c>
      <c r="B277" t="s">
        <v>542</v>
      </c>
      <c r="C277" t="s">
        <v>109</v>
      </c>
      <c r="D277" t="s">
        <v>24</v>
      </c>
      <c r="E277" t="s">
        <v>25</v>
      </c>
      <c r="F277">
        <v>2</v>
      </c>
      <c r="G277" s="2">
        <v>14</v>
      </c>
      <c r="H277" t="s">
        <v>41</v>
      </c>
      <c r="I277" t="s">
        <v>44</v>
      </c>
      <c r="J277" s="2">
        <v>28</v>
      </c>
    </row>
    <row r="278" spans="1:10">
      <c r="A278" t="s">
        <v>560</v>
      </c>
      <c r="B278" t="s">
        <v>561</v>
      </c>
      <c r="C278" t="s">
        <v>562</v>
      </c>
      <c r="D278" t="s">
        <v>35</v>
      </c>
      <c r="E278" t="s">
        <v>14</v>
      </c>
      <c r="F278">
        <v>1</v>
      </c>
      <c r="G278" s="2">
        <v>13</v>
      </c>
      <c r="H278" t="s">
        <v>15</v>
      </c>
      <c r="I278" t="s">
        <v>44</v>
      </c>
      <c r="J278" s="2">
        <v>13</v>
      </c>
    </row>
    <row r="279" spans="1:10">
      <c r="A279" t="s">
        <v>563</v>
      </c>
      <c r="B279" t="s">
        <v>561</v>
      </c>
      <c r="C279" t="s">
        <v>564</v>
      </c>
      <c r="D279" t="s">
        <v>54</v>
      </c>
      <c r="E279" t="s">
        <v>30</v>
      </c>
      <c r="F279">
        <v>2</v>
      </c>
      <c r="G279" s="2">
        <v>8</v>
      </c>
      <c r="H279" t="s">
        <v>26</v>
      </c>
      <c r="I279" t="s">
        <v>44</v>
      </c>
      <c r="J279" s="2">
        <v>16</v>
      </c>
    </row>
    <row r="280" spans="1:10">
      <c r="A280" t="s">
        <v>565</v>
      </c>
      <c r="B280" t="s">
        <v>561</v>
      </c>
      <c r="C280" t="s">
        <v>566</v>
      </c>
      <c r="D280" t="s">
        <v>13</v>
      </c>
      <c r="E280" t="s">
        <v>14</v>
      </c>
      <c r="F280">
        <v>1</v>
      </c>
      <c r="G280" s="2">
        <v>15</v>
      </c>
      <c r="H280" t="s">
        <v>41</v>
      </c>
      <c r="I280" t="s">
        <v>44</v>
      </c>
      <c r="J280" s="2">
        <v>15</v>
      </c>
    </row>
    <row r="281" spans="1:10">
      <c r="A281" t="s">
        <v>567</v>
      </c>
      <c r="B281" t="s">
        <v>561</v>
      </c>
      <c r="C281" t="s">
        <v>568</v>
      </c>
      <c r="D281" t="s">
        <v>24</v>
      </c>
      <c r="E281" t="s">
        <v>25</v>
      </c>
      <c r="F281">
        <v>1</v>
      </c>
      <c r="G281" s="2">
        <v>14</v>
      </c>
      <c r="H281" t="s">
        <v>15</v>
      </c>
      <c r="I281" t="s">
        <v>44</v>
      </c>
      <c r="J281" s="2">
        <v>14</v>
      </c>
    </row>
    <row r="282" spans="1:10">
      <c r="A282" t="s">
        <v>569</v>
      </c>
      <c r="B282" t="s">
        <v>561</v>
      </c>
      <c r="C282" t="s">
        <v>374</v>
      </c>
      <c r="D282" t="s">
        <v>72</v>
      </c>
      <c r="E282" t="s">
        <v>14</v>
      </c>
      <c r="F282">
        <v>1</v>
      </c>
      <c r="G282" s="2">
        <v>14</v>
      </c>
      <c r="H282" t="s">
        <v>15</v>
      </c>
      <c r="I282" t="s">
        <v>16</v>
      </c>
      <c r="J282" s="2">
        <v>14</v>
      </c>
    </row>
    <row r="283" spans="1:10">
      <c r="A283" t="s">
        <v>570</v>
      </c>
      <c r="B283" t="s">
        <v>561</v>
      </c>
      <c r="C283" t="s">
        <v>571</v>
      </c>
      <c r="D283" t="s">
        <v>51</v>
      </c>
      <c r="E283" t="s">
        <v>14</v>
      </c>
      <c r="F283">
        <v>1</v>
      </c>
      <c r="G283" s="2">
        <v>7</v>
      </c>
      <c r="H283" t="s">
        <v>26</v>
      </c>
      <c r="I283" t="s">
        <v>16</v>
      </c>
      <c r="J283" s="2">
        <v>7</v>
      </c>
    </row>
    <row r="284" spans="1:10">
      <c r="A284" t="s">
        <v>572</v>
      </c>
      <c r="B284" t="s">
        <v>561</v>
      </c>
      <c r="C284" t="s">
        <v>48</v>
      </c>
      <c r="D284" t="s">
        <v>115</v>
      </c>
      <c r="E284" t="s">
        <v>63</v>
      </c>
      <c r="F284">
        <v>1</v>
      </c>
      <c r="G284" s="2">
        <v>16</v>
      </c>
      <c r="H284" t="s">
        <v>26</v>
      </c>
      <c r="I284" t="s">
        <v>44</v>
      </c>
      <c r="J284" s="2">
        <v>16</v>
      </c>
    </row>
    <row r="285" spans="1:10">
      <c r="A285" t="s">
        <v>573</v>
      </c>
      <c r="B285" t="s">
        <v>561</v>
      </c>
      <c r="C285" t="s">
        <v>535</v>
      </c>
      <c r="D285" t="s">
        <v>35</v>
      </c>
      <c r="E285" t="s">
        <v>14</v>
      </c>
      <c r="F285">
        <v>1</v>
      </c>
      <c r="G285" s="2">
        <v>13</v>
      </c>
      <c r="H285" t="s">
        <v>26</v>
      </c>
      <c r="I285" t="s">
        <v>16</v>
      </c>
      <c r="J285" s="2">
        <v>13</v>
      </c>
    </row>
    <row r="286" spans="1:10">
      <c r="A286" t="s">
        <v>574</v>
      </c>
      <c r="B286" t="s">
        <v>561</v>
      </c>
      <c r="C286" t="s">
        <v>281</v>
      </c>
      <c r="D286" t="s">
        <v>21</v>
      </c>
      <c r="E286" t="s">
        <v>14</v>
      </c>
      <c r="F286">
        <v>1</v>
      </c>
      <c r="G286" s="2">
        <v>12</v>
      </c>
      <c r="H286" t="s">
        <v>26</v>
      </c>
      <c r="I286" t="s">
        <v>44</v>
      </c>
      <c r="J286" s="2">
        <v>12</v>
      </c>
    </row>
    <row r="287" spans="1:10">
      <c r="A287" t="s">
        <v>575</v>
      </c>
      <c r="B287" t="s">
        <v>561</v>
      </c>
      <c r="C287" t="s">
        <v>576</v>
      </c>
      <c r="D287" t="s">
        <v>105</v>
      </c>
      <c r="E287" t="s">
        <v>25</v>
      </c>
      <c r="F287">
        <v>1</v>
      </c>
      <c r="G287" s="2">
        <v>12</v>
      </c>
      <c r="H287" t="s">
        <v>26</v>
      </c>
      <c r="I287" t="s">
        <v>16</v>
      </c>
      <c r="J287" s="2">
        <v>12</v>
      </c>
    </row>
    <row r="288" spans="1:10">
      <c r="A288" t="s">
        <v>577</v>
      </c>
      <c r="B288" t="s">
        <v>561</v>
      </c>
      <c r="C288" t="s">
        <v>578</v>
      </c>
      <c r="D288" t="s">
        <v>24</v>
      </c>
      <c r="E288" t="s">
        <v>25</v>
      </c>
      <c r="F288">
        <v>2</v>
      </c>
      <c r="G288" s="2">
        <v>14</v>
      </c>
      <c r="H288" t="s">
        <v>41</v>
      </c>
      <c r="I288" t="s">
        <v>44</v>
      </c>
      <c r="J288" s="2">
        <v>28</v>
      </c>
    </row>
    <row r="289" spans="1:10">
      <c r="A289" t="s">
        <v>579</v>
      </c>
      <c r="B289" t="s">
        <v>580</v>
      </c>
      <c r="C289" t="s">
        <v>214</v>
      </c>
      <c r="D289" t="s">
        <v>105</v>
      </c>
      <c r="E289" t="s">
        <v>25</v>
      </c>
      <c r="F289">
        <v>1</v>
      </c>
      <c r="G289" s="2">
        <v>12</v>
      </c>
      <c r="H289" t="s">
        <v>26</v>
      </c>
      <c r="I289" t="s">
        <v>44</v>
      </c>
      <c r="J289" s="2">
        <v>12</v>
      </c>
    </row>
    <row r="290" spans="1:10">
      <c r="A290" t="s">
        <v>581</v>
      </c>
      <c r="B290" t="s">
        <v>580</v>
      </c>
      <c r="C290" t="s">
        <v>582</v>
      </c>
      <c r="D290" t="s">
        <v>13</v>
      </c>
      <c r="E290" t="s">
        <v>14</v>
      </c>
      <c r="F290">
        <v>1</v>
      </c>
      <c r="G290" s="2">
        <v>15</v>
      </c>
      <c r="H290" t="s">
        <v>41</v>
      </c>
      <c r="I290" t="s">
        <v>16</v>
      </c>
      <c r="J290" s="2">
        <v>15</v>
      </c>
    </row>
    <row r="291" spans="1:10">
      <c r="A291" t="s">
        <v>583</v>
      </c>
      <c r="B291" t="s">
        <v>580</v>
      </c>
      <c r="C291" t="s">
        <v>584</v>
      </c>
      <c r="D291" t="s">
        <v>51</v>
      </c>
      <c r="E291" t="s">
        <v>14</v>
      </c>
      <c r="F291">
        <v>1</v>
      </c>
      <c r="G291" s="2">
        <v>7</v>
      </c>
      <c r="H291" t="s">
        <v>26</v>
      </c>
      <c r="I291" t="s">
        <v>16</v>
      </c>
      <c r="J291" s="2">
        <v>7</v>
      </c>
    </row>
    <row r="292" spans="1:10">
      <c r="A292" t="s">
        <v>585</v>
      </c>
      <c r="B292" t="s">
        <v>580</v>
      </c>
      <c r="C292" t="s">
        <v>218</v>
      </c>
      <c r="D292" t="s">
        <v>54</v>
      </c>
      <c r="E292" t="s">
        <v>30</v>
      </c>
      <c r="F292">
        <v>2</v>
      </c>
      <c r="G292" s="2">
        <v>8</v>
      </c>
      <c r="H292" t="s">
        <v>41</v>
      </c>
      <c r="I292" t="s">
        <v>44</v>
      </c>
      <c r="J292" s="2">
        <v>16</v>
      </c>
    </row>
    <row r="293" spans="1:10">
      <c r="A293" t="s">
        <v>586</v>
      </c>
      <c r="B293" t="s">
        <v>580</v>
      </c>
      <c r="C293" t="s">
        <v>319</v>
      </c>
      <c r="D293" t="s">
        <v>72</v>
      </c>
      <c r="E293" t="s">
        <v>14</v>
      </c>
      <c r="F293">
        <v>1</v>
      </c>
      <c r="G293" s="2">
        <v>14</v>
      </c>
      <c r="H293" t="s">
        <v>26</v>
      </c>
      <c r="I293" t="s">
        <v>44</v>
      </c>
      <c r="J293" s="2">
        <v>14</v>
      </c>
    </row>
    <row r="294" spans="1:10">
      <c r="A294" t="s">
        <v>587</v>
      </c>
      <c r="B294" t="s">
        <v>580</v>
      </c>
      <c r="C294" t="s">
        <v>588</v>
      </c>
      <c r="D294" t="s">
        <v>38</v>
      </c>
      <c r="E294" t="s">
        <v>14</v>
      </c>
      <c r="F294">
        <v>1</v>
      </c>
      <c r="G294" s="2">
        <v>9</v>
      </c>
      <c r="H294" t="s">
        <v>41</v>
      </c>
      <c r="I294" t="s">
        <v>16</v>
      </c>
      <c r="J294" s="2">
        <v>9</v>
      </c>
    </row>
    <row r="295" spans="1:10">
      <c r="A295" t="s">
        <v>589</v>
      </c>
      <c r="B295" t="s">
        <v>580</v>
      </c>
      <c r="C295" t="s">
        <v>590</v>
      </c>
      <c r="D295" t="s">
        <v>38</v>
      </c>
      <c r="E295" t="s">
        <v>14</v>
      </c>
      <c r="F295">
        <v>1</v>
      </c>
      <c r="G295" s="2">
        <v>9</v>
      </c>
      <c r="H295" t="s">
        <v>15</v>
      </c>
      <c r="I295" t="s">
        <v>44</v>
      </c>
      <c r="J295" s="2">
        <v>9</v>
      </c>
    </row>
    <row r="296" spans="1:10">
      <c r="A296" t="s">
        <v>591</v>
      </c>
      <c r="B296" t="s">
        <v>580</v>
      </c>
      <c r="C296" t="s">
        <v>592</v>
      </c>
      <c r="D296" t="s">
        <v>38</v>
      </c>
      <c r="E296" t="s">
        <v>14</v>
      </c>
      <c r="F296">
        <v>1</v>
      </c>
      <c r="G296" s="2">
        <v>9</v>
      </c>
      <c r="H296" t="s">
        <v>41</v>
      </c>
      <c r="I296" t="s">
        <v>16</v>
      </c>
      <c r="J296" s="2">
        <v>9</v>
      </c>
    </row>
    <row r="297" spans="1:10">
      <c r="A297" t="s">
        <v>593</v>
      </c>
      <c r="B297" t="s">
        <v>580</v>
      </c>
      <c r="C297" t="s">
        <v>594</v>
      </c>
      <c r="D297" t="s">
        <v>62</v>
      </c>
      <c r="E297" t="s">
        <v>63</v>
      </c>
      <c r="F297">
        <v>1</v>
      </c>
      <c r="G297" s="2">
        <v>10</v>
      </c>
      <c r="H297" t="s">
        <v>26</v>
      </c>
      <c r="I297" t="s">
        <v>44</v>
      </c>
      <c r="J297" s="2">
        <v>10</v>
      </c>
    </row>
    <row r="298" spans="1:10">
      <c r="A298" t="s">
        <v>595</v>
      </c>
      <c r="B298" t="s">
        <v>580</v>
      </c>
      <c r="C298" t="s">
        <v>596</v>
      </c>
      <c r="D298" t="s">
        <v>51</v>
      </c>
      <c r="E298" t="s">
        <v>14</v>
      </c>
      <c r="F298">
        <v>2</v>
      </c>
      <c r="G298" s="2">
        <v>7</v>
      </c>
      <c r="H298" t="s">
        <v>26</v>
      </c>
      <c r="I298" t="s">
        <v>44</v>
      </c>
      <c r="J298" s="2">
        <v>14</v>
      </c>
    </row>
    <row r="299" spans="1:10">
      <c r="A299" t="s">
        <v>597</v>
      </c>
      <c r="B299" t="s">
        <v>580</v>
      </c>
      <c r="C299" t="s">
        <v>522</v>
      </c>
      <c r="D299" t="s">
        <v>72</v>
      </c>
      <c r="E299" t="s">
        <v>14</v>
      </c>
      <c r="F299">
        <v>2</v>
      </c>
      <c r="G299" s="2">
        <v>14</v>
      </c>
      <c r="H299" t="s">
        <v>41</v>
      </c>
      <c r="I299" t="s">
        <v>44</v>
      </c>
      <c r="J299" s="2">
        <v>28</v>
      </c>
    </row>
    <row r="300" spans="1:10">
      <c r="A300" t="s">
        <v>598</v>
      </c>
      <c r="B300" t="s">
        <v>580</v>
      </c>
      <c r="C300" t="s">
        <v>599</v>
      </c>
      <c r="D300" t="s">
        <v>13</v>
      </c>
      <c r="E300" t="s">
        <v>14</v>
      </c>
      <c r="F300">
        <v>1</v>
      </c>
      <c r="G300" s="2">
        <v>15</v>
      </c>
      <c r="H300" t="s">
        <v>41</v>
      </c>
      <c r="I300" t="s">
        <v>16</v>
      </c>
      <c r="J300" s="2">
        <v>15</v>
      </c>
    </row>
    <row r="301" spans="1:10">
      <c r="A301" t="s">
        <v>600</v>
      </c>
      <c r="B301" t="s">
        <v>580</v>
      </c>
      <c r="C301" t="s">
        <v>601</v>
      </c>
      <c r="D301" t="s">
        <v>29</v>
      </c>
      <c r="E301" t="s">
        <v>30</v>
      </c>
      <c r="F301">
        <v>1</v>
      </c>
      <c r="G301" s="2">
        <v>9</v>
      </c>
      <c r="H301" t="s">
        <v>26</v>
      </c>
      <c r="I301" t="s">
        <v>44</v>
      </c>
      <c r="J301" s="2">
        <v>9</v>
      </c>
    </row>
    <row r="302" spans="1:10">
      <c r="A302" t="s">
        <v>602</v>
      </c>
      <c r="B302" t="s">
        <v>580</v>
      </c>
      <c r="C302" t="s">
        <v>603</v>
      </c>
      <c r="D302" t="s">
        <v>38</v>
      </c>
      <c r="E302" t="s">
        <v>14</v>
      </c>
      <c r="F302">
        <v>3</v>
      </c>
      <c r="G302" s="2">
        <v>9</v>
      </c>
      <c r="H302" t="s">
        <v>15</v>
      </c>
      <c r="I302" t="s">
        <v>44</v>
      </c>
      <c r="J302" s="2">
        <v>27</v>
      </c>
    </row>
    <row r="303" spans="1:10">
      <c r="A303" t="s">
        <v>604</v>
      </c>
      <c r="B303" t="s">
        <v>605</v>
      </c>
      <c r="C303" t="s">
        <v>606</v>
      </c>
      <c r="D303" t="s">
        <v>51</v>
      </c>
      <c r="E303" t="s">
        <v>14</v>
      </c>
      <c r="F303">
        <v>1</v>
      </c>
      <c r="G303" s="2">
        <v>7</v>
      </c>
      <c r="H303" t="s">
        <v>26</v>
      </c>
      <c r="I303" t="s">
        <v>44</v>
      </c>
      <c r="J303" s="2">
        <v>7</v>
      </c>
    </row>
    <row r="304" spans="1:10">
      <c r="A304" t="s">
        <v>607</v>
      </c>
      <c r="B304" t="s">
        <v>605</v>
      </c>
      <c r="C304" t="s">
        <v>608</v>
      </c>
      <c r="D304" t="s">
        <v>35</v>
      </c>
      <c r="E304" t="s">
        <v>14</v>
      </c>
      <c r="F304">
        <v>1</v>
      </c>
      <c r="G304" s="2">
        <v>13</v>
      </c>
      <c r="H304" t="s">
        <v>26</v>
      </c>
      <c r="I304" t="s">
        <v>44</v>
      </c>
      <c r="J304" s="2">
        <v>13</v>
      </c>
    </row>
    <row r="305" spans="1:10">
      <c r="A305" t="s">
        <v>609</v>
      </c>
      <c r="B305" t="s">
        <v>605</v>
      </c>
      <c r="C305" t="s">
        <v>610</v>
      </c>
      <c r="D305" t="s">
        <v>29</v>
      </c>
      <c r="E305" t="s">
        <v>30</v>
      </c>
      <c r="F305">
        <v>1</v>
      </c>
      <c r="G305" s="2">
        <v>9</v>
      </c>
      <c r="H305" t="s">
        <v>26</v>
      </c>
      <c r="I305" t="s">
        <v>16</v>
      </c>
      <c r="J305" s="2">
        <v>9</v>
      </c>
    </row>
    <row r="306" spans="1:10">
      <c r="A306" t="s">
        <v>611</v>
      </c>
      <c r="B306" t="s">
        <v>605</v>
      </c>
      <c r="C306" t="s">
        <v>612</v>
      </c>
      <c r="D306" t="s">
        <v>35</v>
      </c>
      <c r="E306" t="s">
        <v>14</v>
      </c>
      <c r="F306">
        <v>1</v>
      </c>
      <c r="G306" s="2">
        <v>13</v>
      </c>
      <c r="H306" t="s">
        <v>613</v>
      </c>
      <c r="I306" t="s">
        <v>44</v>
      </c>
      <c r="J306" s="2">
        <v>13</v>
      </c>
    </row>
    <row r="307" spans="1:10">
      <c r="A307" t="s">
        <v>614</v>
      </c>
      <c r="B307" t="s">
        <v>605</v>
      </c>
      <c r="C307" t="s">
        <v>615</v>
      </c>
      <c r="D307" t="s">
        <v>24</v>
      </c>
      <c r="E307" t="s">
        <v>25</v>
      </c>
      <c r="F307">
        <v>1</v>
      </c>
      <c r="G307" s="2">
        <v>14</v>
      </c>
      <c r="H307" t="s">
        <v>41</v>
      </c>
      <c r="I307" t="s">
        <v>16</v>
      </c>
      <c r="J307" s="2">
        <v>14</v>
      </c>
    </row>
    <row r="308" spans="1:10">
      <c r="A308" t="s">
        <v>616</v>
      </c>
      <c r="B308" t="s">
        <v>605</v>
      </c>
      <c r="C308" t="s">
        <v>235</v>
      </c>
      <c r="D308" t="s">
        <v>72</v>
      </c>
      <c r="E308" t="s">
        <v>14</v>
      </c>
      <c r="F308">
        <v>1</v>
      </c>
      <c r="G308" s="2">
        <v>14</v>
      </c>
      <c r="H308" t="s">
        <v>26</v>
      </c>
      <c r="I308" t="s">
        <v>44</v>
      </c>
      <c r="J308" s="2">
        <v>14</v>
      </c>
    </row>
    <row r="309" spans="1:10">
      <c r="A309" t="s">
        <v>617</v>
      </c>
      <c r="B309" t="s">
        <v>605</v>
      </c>
      <c r="C309" t="s">
        <v>618</v>
      </c>
      <c r="D309" t="s">
        <v>38</v>
      </c>
      <c r="E309" t="s">
        <v>14</v>
      </c>
      <c r="F309">
        <v>1</v>
      </c>
      <c r="G309" s="2">
        <v>9</v>
      </c>
      <c r="H309" t="s">
        <v>15</v>
      </c>
      <c r="I309" t="s">
        <v>16</v>
      </c>
      <c r="J309" s="2">
        <v>9</v>
      </c>
    </row>
    <row r="310" spans="1:10">
      <c r="A310" t="s">
        <v>619</v>
      </c>
      <c r="B310" t="s">
        <v>605</v>
      </c>
      <c r="C310" t="s">
        <v>620</v>
      </c>
      <c r="D310" t="s">
        <v>35</v>
      </c>
      <c r="E310" t="s">
        <v>14</v>
      </c>
      <c r="F310">
        <v>2</v>
      </c>
      <c r="G310" s="2">
        <v>13</v>
      </c>
      <c r="H310" t="s">
        <v>41</v>
      </c>
      <c r="I310" t="s">
        <v>16</v>
      </c>
      <c r="J310" s="2">
        <v>26</v>
      </c>
    </row>
    <row r="311" spans="1:10">
      <c r="A311" t="s">
        <v>621</v>
      </c>
      <c r="B311" t="s">
        <v>605</v>
      </c>
      <c r="C311" t="s">
        <v>622</v>
      </c>
      <c r="D311" t="s">
        <v>21</v>
      </c>
      <c r="E311" t="s">
        <v>14</v>
      </c>
      <c r="F311">
        <v>1</v>
      </c>
      <c r="G311" s="2">
        <v>12</v>
      </c>
      <c r="H311" t="s">
        <v>15</v>
      </c>
      <c r="I311" t="s">
        <v>16</v>
      </c>
      <c r="J311" s="2">
        <v>12</v>
      </c>
    </row>
    <row r="312" spans="1:10">
      <c r="A312" t="s">
        <v>623</v>
      </c>
      <c r="B312" t="s">
        <v>605</v>
      </c>
      <c r="C312" t="s">
        <v>624</v>
      </c>
      <c r="D312" t="s">
        <v>21</v>
      </c>
      <c r="E312" t="s">
        <v>14</v>
      </c>
      <c r="F312">
        <v>1</v>
      </c>
      <c r="G312" s="2">
        <v>12</v>
      </c>
      <c r="H312" t="s">
        <v>26</v>
      </c>
      <c r="I312" t="s">
        <v>44</v>
      </c>
      <c r="J312" s="2">
        <v>12</v>
      </c>
    </row>
    <row r="313" spans="1:10">
      <c r="A313" t="s">
        <v>625</v>
      </c>
      <c r="B313" t="s">
        <v>605</v>
      </c>
      <c r="C313" t="s">
        <v>626</v>
      </c>
      <c r="D313" t="s">
        <v>62</v>
      </c>
      <c r="E313" t="s">
        <v>63</v>
      </c>
      <c r="F313">
        <v>2</v>
      </c>
      <c r="G313" s="2">
        <v>10</v>
      </c>
      <c r="H313" t="s">
        <v>26</v>
      </c>
      <c r="I313" t="s">
        <v>44</v>
      </c>
      <c r="J313" s="2">
        <v>20</v>
      </c>
    </row>
    <row r="314" spans="1:10">
      <c r="A314" t="s">
        <v>627</v>
      </c>
      <c r="B314" t="s">
        <v>605</v>
      </c>
      <c r="C314" t="s">
        <v>628</v>
      </c>
      <c r="D314" t="s">
        <v>72</v>
      </c>
      <c r="E314" t="s">
        <v>14</v>
      </c>
      <c r="F314">
        <v>2</v>
      </c>
      <c r="G314" s="2">
        <v>14</v>
      </c>
      <c r="H314" t="s">
        <v>15</v>
      </c>
      <c r="I314" t="s">
        <v>16</v>
      </c>
      <c r="J314" s="2">
        <v>28</v>
      </c>
    </row>
    <row r="315" spans="1:10">
      <c r="A315" t="s">
        <v>629</v>
      </c>
      <c r="B315" t="s">
        <v>605</v>
      </c>
      <c r="C315" t="s">
        <v>630</v>
      </c>
      <c r="D315" t="s">
        <v>72</v>
      </c>
      <c r="E315" t="s">
        <v>14</v>
      </c>
      <c r="F315">
        <v>2</v>
      </c>
      <c r="G315" s="2">
        <v>14</v>
      </c>
      <c r="H315" t="s">
        <v>26</v>
      </c>
      <c r="I315" t="s">
        <v>44</v>
      </c>
      <c r="J315" s="2">
        <v>28</v>
      </c>
    </row>
    <row r="316" spans="1:10">
      <c r="A316" t="s">
        <v>631</v>
      </c>
      <c r="B316" t="s">
        <v>605</v>
      </c>
      <c r="C316" t="s">
        <v>632</v>
      </c>
      <c r="D316" t="s">
        <v>38</v>
      </c>
      <c r="E316" t="s">
        <v>14</v>
      </c>
      <c r="F316">
        <v>1</v>
      </c>
      <c r="G316" s="2">
        <v>9</v>
      </c>
      <c r="H316" t="s">
        <v>41</v>
      </c>
      <c r="I316" t="s">
        <v>16</v>
      </c>
      <c r="J316" s="2">
        <v>9</v>
      </c>
    </row>
    <row r="317" spans="1:10">
      <c r="A317" t="s">
        <v>633</v>
      </c>
      <c r="B317" t="s">
        <v>605</v>
      </c>
      <c r="C317" t="s">
        <v>634</v>
      </c>
      <c r="D317" t="s">
        <v>54</v>
      </c>
      <c r="E317" t="s">
        <v>30</v>
      </c>
      <c r="F317">
        <v>1</v>
      </c>
      <c r="G317" s="2">
        <v>8</v>
      </c>
      <c r="H317" t="s">
        <v>15</v>
      </c>
      <c r="I317" t="s">
        <v>16</v>
      </c>
      <c r="J317" s="2">
        <v>8</v>
      </c>
    </row>
    <row r="318" spans="1:10">
      <c r="A318" t="s">
        <v>635</v>
      </c>
      <c r="B318" t="s">
        <v>636</v>
      </c>
      <c r="C318" t="s">
        <v>637</v>
      </c>
      <c r="D318" t="s">
        <v>54</v>
      </c>
      <c r="E318" t="s">
        <v>30</v>
      </c>
      <c r="F318">
        <v>1</v>
      </c>
      <c r="G318" s="2">
        <v>8</v>
      </c>
      <c r="H318" t="s">
        <v>41</v>
      </c>
      <c r="I318" t="s">
        <v>16</v>
      </c>
      <c r="J318" s="2">
        <v>8</v>
      </c>
    </row>
    <row r="319" spans="1:10">
      <c r="A319" t="s">
        <v>638</v>
      </c>
      <c r="B319" t="s">
        <v>636</v>
      </c>
      <c r="C319" t="s">
        <v>639</v>
      </c>
      <c r="D319" t="s">
        <v>51</v>
      </c>
      <c r="E319" t="s">
        <v>14</v>
      </c>
      <c r="F319">
        <v>1</v>
      </c>
      <c r="G319" s="2">
        <v>7</v>
      </c>
      <c r="H319" t="s">
        <v>26</v>
      </c>
      <c r="I319" t="s">
        <v>16</v>
      </c>
      <c r="J319" s="2">
        <v>7</v>
      </c>
    </row>
    <row r="320" spans="1:10">
      <c r="A320" t="s">
        <v>640</v>
      </c>
      <c r="B320" t="s">
        <v>636</v>
      </c>
      <c r="C320" t="s">
        <v>641</v>
      </c>
      <c r="D320" t="s">
        <v>72</v>
      </c>
      <c r="E320" t="s">
        <v>14</v>
      </c>
      <c r="F320">
        <v>1</v>
      </c>
      <c r="G320" s="2">
        <v>14</v>
      </c>
      <c r="H320" t="s">
        <v>15</v>
      </c>
      <c r="I320" t="s">
        <v>16</v>
      </c>
      <c r="J320" s="2">
        <v>14</v>
      </c>
    </row>
    <row r="321" spans="1:10">
      <c r="A321" t="s">
        <v>642</v>
      </c>
      <c r="B321" t="s">
        <v>636</v>
      </c>
      <c r="C321" t="s">
        <v>221</v>
      </c>
      <c r="D321" t="s">
        <v>24</v>
      </c>
      <c r="E321" t="s">
        <v>25</v>
      </c>
      <c r="F321">
        <v>2</v>
      </c>
      <c r="G321" s="2">
        <v>14</v>
      </c>
      <c r="H321" t="s">
        <v>26</v>
      </c>
      <c r="I321" t="s">
        <v>16</v>
      </c>
      <c r="J321" s="2">
        <v>28</v>
      </c>
    </row>
    <row r="322" spans="1:10">
      <c r="A322" t="s">
        <v>643</v>
      </c>
      <c r="B322" t="s">
        <v>636</v>
      </c>
      <c r="C322" t="s">
        <v>644</v>
      </c>
      <c r="D322" t="s">
        <v>38</v>
      </c>
      <c r="E322" t="s">
        <v>14</v>
      </c>
      <c r="F322">
        <v>1</v>
      </c>
      <c r="G322" s="2">
        <v>9</v>
      </c>
      <c r="H322" t="s">
        <v>26</v>
      </c>
      <c r="I322" t="s">
        <v>44</v>
      </c>
      <c r="J322" s="2">
        <v>9</v>
      </c>
    </row>
    <row r="323" spans="1:10">
      <c r="A323" t="s">
        <v>645</v>
      </c>
      <c r="B323" t="s">
        <v>636</v>
      </c>
      <c r="C323" t="s">
        <v>646</v>
      </c>
      <c r="D323" t="s">
        <v>38</v>
      </c>
      <c r="E323" t="s">
        <v>14</v>
      </c>
      <c r="F323">
        <v>2</v>
      </c>
      <c r="G323" s="2">
        <v>9</v>
      </c>
      <c r="H323" t="s">
        <v>26</v>
      </c>
      <c r="I323" t="s">
        <v>44</v>
      </c>
      <c r="J323" s="2">
        <v>18</v>
      </c>
    </row>
    <row r="324" spans="1:10">
      <c r="A324" t="s">
        <v>647</v>
      </c>
      <c r="B324" t="s">
        <v>636</v>
      </c>
      <c r="C324" t="s">
        <v>358</v>
      </c>
      <c r="D324" t="s">
        <v>62</v>
      </c>
      <c r="E324" t="s">
        <v>63</v>
      </c>
      <c r="F324">
        <v>1</v>
      </c>
      <c r="G324" s="2">
        <v>10</v>
      </c>
      <c r="H324" t="s">
        <v>26</v>
      </c>
      <c r="I324" t="s">
        <v>16</v>
      </c>
      <c r="J324" s="2">
        <v>10</v>
      </c>
    </row>
    <row r="325" spans="1:10">
      <c r="A325" t="s">
        <v>648</v>
      </c>
      <c r="B325" t="s">
        <v>636</v>
      </c>
      <c r="C325" t="s">
        <v>649</v>
      </c>
      <c r="D325" t="s">
        <v>105</v>
      </c>
      <c r="E325" t="s">
        <v>25</v>
      </c>
      <c r="F325">
        <v>2</v>
      </c>
      <c r="G325" s="2">
        <v>12</v>
      </c>
      <c r="H325" t="s">
        <v>26</v>
      </c>
      <c r="I325" t="s">
        <v>44</v>
      </c>
      <c r="J325" s="2">
        <v>24</v>
      </c>
    </row>
    <row r="326" spans="1:10">
      <c r="A326" t="s">
        <v>650</v>
      </c>
      <c r="B326" t="s">
        <v>636</v>
      </c>
      <c r="C326" t="s">
        <v>651</v>
      </c>
      <c r="D326" t="s">
        <v>54</v>
      </c>
      <c r="E326" t="s">
        <v>30</v>
      </c>
      <c r="F326">
        <v>1</v>
      </c>
      <c r="G326" s="2">
        <v>8</v>
      </c>
      <c r="H326" t="s">
        <v>15</v>
      </c>
      <c r="I326" t="s">
        <v>16</v>
      </c>
      <c r="J326" s="2">
        <v>8</v>
      </c>
    </row>
    <row r="327" spans="1:10">
      <c r="A327" t="s">
        <v>652</v>
      </c>
      <c r="B327" t="s">
        <v>636</v>
      </c>
      <c r="C327" t="s">
        <v>653</v>
      </c>
      <c r="D327" t="s">
        <v>13</v>
      </c>
      <c r="E327" t="s">
        <v>14</v>
      </c>
      <c r="F327">
        <v>1</v>
      </c>
      <c r="G327" s="2">
        <v>15</v>
      </c>
      <c r="H327" t="s">
        <v>26</v>
      </c>
      <c r="I327" t="s">
        <v>16</v>
      </c>
      <c r="J327" s="2">
        <v>15</v>
      </c>
    </row>
    <row r="328" spans="1:10">
      <c r="A328" t="s">
        <v>654</v>
      </c>
      <c r="B328" t="s">
        <v>636</v>
      </c>
      <c r="C328" t="s">
        <v>655</v>
      </c>
      <c r="D328" t="s">
        <v>115</v>
      </c>
      <c r="E328" t="s">
        <v>63</v>
      </c>
      <c r="F328">
        <v>1</v>
      </c>
      <c r="G328" s="2">
        <v>16</v>
      </c>
      <c r="H328" t="s">
        <v>15</v>
      </c>
      <c r="I328" t="s">
        <v>16</v>
      </c>
      <c r="J328" s="2">
        <v>16</v>
      </c>
    </row>
    <row r="329" spans="1:10">
      <c r="A329" t="s">
        <v>656</v>
      </c>
      <c r="B329" t="s">
        <v>636</v>
      </c>
      <c r="C329" t="s">
        <v>657</v>
      </c>
      <c r="D329" t="s">
        <v>51</v>
      </c>
      <c r="E329" t="s">
        <v>14</v>
      </c>
      <c r="F329">
        <v>1</v>
      </c>
      <c r="G329" s="2">
        <v>7</v>
      </c>
      <c r="H329" t="s">
        <v>26</v>
      </c>
      <c r="I329" t="s">
        <v>44</v>
      </c>
      <c r="J329" s="2">
        <v>7</v>
      </c>
    </row>
    <row r="330" spans="1:10">
      <c r="A330" t="s">
        <v>658</v>
      </c>
      <c r="B330" t="s">
        <v>636</v>
      </c>
      <c r="C330" t="s">
        <v>659</v>
      </c>
      <c r="D330" t="s">
        <v>13</v>
      </c>
      <c r="E330" t="s">
        <v>14</v>
      </c>
      <c r="F330">
        <v>1</v>
      </c>
      <c r="G330" s="2">
        <v>15</v>
      </c>
      <c r="H330" t="s">
        <v>15</v>
      </c>
      <c r="I330" t="s">
        <v>44</v>
      </c>
      <c r="J330" s="2">
        <v>15</v>
      </c>
    </row>
    <row r="331" spans="1:10">
      <c r="A331" t="s">
        <v>660</v>
      </c>
      <c r="B331" t="s">
        <v>661</v>
      </c>
      <c r="C331" t="s">
        <v>662</v>
      </c>
      <c r="D331" t="s">
        <v>54</v>
      </c>
      <c r="E331" t="s">
        <v>30</v>
      </c>
      <c r="F331">
        <v>3</v>
      </c>
      <c r="G331" s="2">
        <v>8</v>
      </c>
      <c r="H331" t="s">
        <v>41</v>
      </c>
      <c r="I331" t="s">
        <v>44</v>
      </c>
      <c r="J331" s="2">
        <v>24</v>
      </c>
    </row>
    <row r="332" spans="1:10">
      <c r="A332" t="s">
        <v>663</v>
      </c>
      <c r="B332" t="s">
        <v>661</v>
      </c>
      <c r="C332" t="s">
        <v>664</v>
      </c>
      <c r="D332" t="s">
        <v>35</v>
      </c>
      <c r="E332" t="s">
        <v>14</v>
      </c>
      <c r="F332">
        <v>2</v>
      </c>
      <c r="G332" s="2">
        <v>13</v>
      </c>
      <c r="H332" t="s">
        <v>15</v>
      </c>
      <c r="I332" t="s">
        <v>44</v>
      </c>
      <c r="J332" s="2">
        <v>26</v>
      </c>
    </row>
    <row r="333" spans="1:10">
      <c r="A333" t="s">
        <v>665</v>
      </c>
      <c r="B333" t="s">
        <v>661</v>
      </c>
      <c r="C333" t="s">
        <v>666</v>
      </c>
      <c r="D333" t="s">
        <v>38</v>
      </c>
      <c r="E333" t="s">
        <v>14</v>
      </c>
      <c r="F333">
        <v>2</v>
      </c>
      <c r="G333" s="2">
        <v>9</v>
      </c>
      <c r="H333" t="s">
        <v>15</v>
      </c>
      <c r="I333" t="s">
        <v>44</v>
      </c>
      <c r="J333" s="2">
        <v>18</v>
      </c>
    </row>
    <row r="334" spans="1:10">
      <c r="A334" t="s">
        <v>667</v>
      </c>
      <c r="B334" t="s">
        <v>661</v>
      </c>
      <c r="C334" t="s">
        <v>668</v>
      </c>
      <c r="D334" t="s">
        <v>29</v>
      </c>
      <c r="E334" t="s">
        <v>30</v>
      </c>
      <c r="F334">
        <v>1</v>
      </c>
      <c r="G334" s="2">
        <v>9</v>
      </c>
      <c r="H334" t="s">
        <v>26</v>
      </c>
      <c r="I334" t="s">
        <v>16</v>
      </c>
      <c r="J334" s="2">
        <v>9</v>
      </c>
    </row>
    <row r="335" spans="1:10">
      <c r="A335" t="s">
        <v>669</v>
      </c>
      <c r="B335" t="s">
        <v>661</v>
      </c>
      <c r="C335" t="s">
        <v>670</v>
      </c>
      <c r="D335" t="s">
        <v>24</v>
      </c>
      <c r="E335" t="s">
        <v>25</v>
      </c>
      <c r="F335">
        <v>1</v>
      </c>
      <c r="G335" s="2">
        <v>14</v>
      </c>
      <c r="H335" t="s">
        <v>26</v>
      </c>
      <c r="I335" t="s">
        <v>44</v>
      </c>
      <c r="J335" s="2">
        <v>14</v>
      </c>
    </row>
    <row r="336" spans="1:10">
      <c r="A336" t="s">
        <v>671</v>
      </c>
      <c r="B336" t="s">
        <v>661</v>
      </c>
      <c r="C336" t="s">
        <v>672</v>
      </c>
      <c r="D336" t="s">
        <v>35</v>
      </c>
      <c r="E336" t="s">
        <v>14</v>
      </c>
      <c r="F336">
        <v>1</v>
      </c>
      <c r="G336" s="2">
        <v>13</v>
      </c>
      <c r="H336" t="s">
        <v>15</v>
      </c>
      <c r="I336" t="s">
        <v>44</v>
      </c>
      <c r="J336" s="2">
        <v>13</v>
      </c>
    </row>
    <row r="337" spans="1:10">
      <c r="A337" t="s">
        <v>673</v>
      </c>
      <c r="B337" t="s">
        <v>661</v>
      </c>
      <c r="C337" t="s">
        <v>674</v>
      </c>
      <c r="D337" t="s">
        <v>21</v>
      </c>
      <c r="E337" t="s">
        <v>14</v>
      </c>
      <c r="F337">
        <v>1</v>
      </c>
      <c r="G337" s="2">
        <v>12</v>
      </c>
      <c r="H337" t="s">
        <v>26</v>
      </c>
      <c r="I337" t="s">
        <v>16</v>
      </c>
      <c r="J337" s="2">
        <v>12</v>
      </c>
    </row>
    <row r="338" spans="1:10">
      <c r="A338" t="s">
        <v>675</v>
      </c>
      <c r="B338" t="s">
        <v>661</v>
      </c>
      <c r="C338" t="s">
        <v>676</v>
      </c>
      <c r="D338" t="s">
        <v>72</v>
      </c>
      <c r="E338" t="s">
        <v>14</v>
      </c>
      <c r="F338">
        <v>1</v>
      </c>
      <c r="G338" s="2">
        <v>14</v>
      </c>
      <c r="H338" t="s">
        <v>15</v>
      </c>
      <c r="I338" t="s">
        <v>44</v>
      </c>
      <c r="J338" s="2">
        <v>14</v>
      </c>
    </row>
    <row r="339" spans="1:10">
      <c r="A339" t="s">
        <v>677</v>
      </c>
      <c r="B339" t="s">
        <v>661</v>
      </c>
      <c r="C339" t="s">
        <v>678</v>
      </c>
      <c r="D339" t="s">
        <v>35</v>
      </c>
      <c r="E339" t="s">
        <v>14</v>
      </c>
      <c r="F339">
        <v>1</v>
      </c>
      <c r="G339" s="2">
        <v>13</v>
      </c>
      <c r="H339" t="s">
        <v>26</v>
      </c>
      <c r="I339" t="s">
        <v>44</v>
      </c>
      <c r="J339" s="2">
        <v>13</v>
      </c>
    </row>
    <row r="340" spans="1:10">
      <c r="A340" t="s">
        <v>679</v>
      </c>
      <c r="B340" t="s">
        <v>661</v>
      </c>
      <c r="C340" t="s">
        <v>680</v>
      </c>
      <c r="D340" t="s">
        <v>35</v>
      </c>
      <c r="E340" t="s">
        <v>14</v>
      </c>
      <c r="F340">
        <v>2</v>
      </c>
      <c r="G340" s="2">
        <v>13</v>
      </c>
      <c r="H340" t="s">
        <v>15</v>
      </c>
      <c r="I340" t="s">
        <v>16</v>
      </c>
      <c r="J340" s="2">
        <v>26</v>
      </c>
    </row>
    <row r="341" spans="1:10">
      <c r="A341" t="s">
        <v>681</v>
      </c>
      <c r="B341" t="s">
        <v>682</v>
      </c>
      <c r="C341" t="s">
        <v>683</v>
      </c>
      <c r="D341" t="s">
        <v>35</v>
      </c>
      <c r="E341" t="s">
        <v>14</v>
      </c>
      <c r="F341">
        <v>1</v>
      </c>
      <c r="G341" s="2">
        <v>13</v>
      </c>
      <c r="H341" t="s">
        <v>41</v>
      </c>
      <c r="I341" t="s">
        <v>16</v>
      </c>
      <c r="J341" s="2">
        <v>13</v>
      </c>
    </row>
    <row r="342" spans="1:10">
      <c r="A342" t="s">
        <v>684</v>
      </c>
      <c r="B342" t="s">
        <v>682</v>
      </c>
      <c r="C342" t="s">
        <v>685</v>
      </c>
      <c r="D342" t="s">
        <v>35</v>
      </c>
      <c r="E342" t="s">
        <v>14</v>
      </c>
      <c r="F342">
        <v>1</v>
      </c>
      <c r="G342" s="2">
        <v>13</v>
      </c>
      <c r="H342" t="s">
        <v>26</v>
      </c>
      <c r="I342" t="s">
        <v>16</v>
      </c>
      <c r="J342" s="2">
        <v>13</v>
      </c>
    </row>
    <row r="343" spans="1:10">
      <c r="A343" t="s">
        <v>686</v>
      </c>
      <c r="B343" t="s">
        <v>682</v>
      </c>
      <c r="C343" t="s">
        <v>371</v>
      </c>
      <c r="D343" t="s">
        <v>115</v>
      </c>
      <c r="E343" t="s">
        <v>63</v>
      </c>
      <c r="F343">
        <v>1</v>
      </c>
      <c r="G343" s="2">
        <v>16</v>
      </c>
      <c r="H343" t="s">
        <v>26</v>
      </c>
      <c r="I343" t="s">
        <v>44</v>
      </c>
      <c r="J343" s="2">
        <v>16</v>
      </c>
    </row>
    <row r="344" spans="1:10">
      <c r="A344" t="s">
        <v>687</v>
      </c>
      <c r="B344" t="s">
        <v>682</v>
      </c>
      <c r="C344" t="s">
        <v>688</v>
      </c>
      <c r="D344" t="s">
        <v>13</v>
      </c>
      <c r="E344" t="s">
        <v>14</v>
      </c>
      <c r="F344">
        <v>2</v>
      </c>
      <c r="G344" s="2">
        <v>15</v>
      </c>
      <c r="H344" t="s">
        <v>26</v>
      </c>
      <c r="I344" t="s">
        <v>44</v>
      </c>
      <c r="J344" s="2">
        <v>30</v>
      </c>
    </row>
    <row r="345" spans="1:10">
      <c r="A345" t="s">
        <v>689</v>
      </c>
      <c r="B345" t="s">
        <v>682</v>
      </c>
      <c r="C345" t="s">
        <v>690</v>
      </c>
      <c r="D345" t="s">
        <v>38</v>
      </c>
      <c r="E345" t="s">
        <v>14</v>
      </c>
      <c r="F345">
        <v>2</v>
      </c>
      <c r="G345" s="2">
        <v>9</v>
      </c>
      <c r="H345" t="s">
        <v>41</v>
      </c>
      <c r="I345" t="s">
        <v>16</v>
      </c>
      <c r="J345" s="2">
        <v>18</v>
      </c>
    </row>
    <row r="346" spans="1:10">
      <c r="A346" t="s">
        <v>691</v>
      </c>
      <c r="B346" t="s">
        <v>682</v>
      </c>
      <c r="C346" t="s">
        <v>692</v>
      </c>
      <c r="D346" t="s">
        <v>62</v>
      </c>
      <c r="E346" t="s">
        <v>63</v>
      </c>
      <c r="F346">
        <v>1</v>
      </c>
      <c r="G346" s="2">
        <v>10</v>
      </c>
      <c r="H346" t="s">
        <v>613</v>
      </c>
      <c r="I346" t="s">
        <v>44</v>
      </c>
      <c r="J346" s="2">
        <v>10</v>
      </c>
    </row>
    <row r="347" spans="1:10">
      <c r="A347" t="s">
        <v>693</v>
      </c>
      <c r="B347" t="s">
        <v>682</v>
      </c>
      <c r="C347" t="s">
        <v>694</v>
      </c>
      <c r="D347" t="s">
        <v>62</v>
      </c>
      <c r="E347" t="s">
        <v>63</v>
      </c>
      <c r="F347">
        <v>1</v>
      </c>
      <c r="G347" s="2">
        <v>10</v>
      </c>
      <c r="H347" t="s">
        <v>15</v>
      </c>
      <c r="I347" t="s">
        <v>16</v>
      </c>
      <c r="J347" s="2">
        <v>10</v>
      </c>
    </row>
    <row r="348" spans="1:10">
      <c r="A348" t="s">
        <v>695</v>
      </c>
      <c r="B348" t="s">
        <v>682</v>
      </c>
      <c r="C348" t="s">
        <v>624</v>
      </c>
      <c r="D348" t="s">
        <v>21</v>
      </c>
      <c r="E348" t="s">
        <v>14</v>
      </c>
      <c r="F348">
        <v>1</v>
      </c>
      <c r="G348" s="2">
        <v>12</v>
      </c>
      <c r="H348" t="s">
        <v>41</v>
      </c>
      <c r="I348" t="s">
        <v>44</v>
      </c>
      <c r="J348" s="2">
        <v>12</v>
      </c>
    </row>
    <row r="349" spans="1:10">
      <c r="A349" t="s">
        <v>696</v>
      </c>
      <c r="B349" t="s">
        <v>697</v>
      </c>
      <c r="C349" t="s">
        <v>698</v>
      </c>
      <c r="D349" t="s">
        <v>72</v>
      </c>
      <c r="E349" t="s">
        <v>14</v>
      </c>
      <c r="F349">
        <v>1</v>
      </c>
      <c r="G349" s="2">
        <v>14</v>
      </c>
      <c r="H349" t="s">
        <v>26</v>
      </c>
      <c r="I349" t="s">
        <v>16</v>
      </c>
      <c r="J349" s="2">
        <v>14</v>
      </c>
    </row>
    <row r="350" spans="1:10">
      <c r="A350" t="s">
        <v>699</v>
      </c>
      <c r="B350" t="s">
        <v>697</v>
      </c>
      <c r="C350" t="s">
        <v>114</v>
      </c>
      <c r="D350" t="s">
        <v>72</v>
      </c>
      <c r="E350" t="s">
        <v>14</v>
      </c>
      <c r="F350">
        <v>2</v>
      </c>
      <c r="G350" s="2">
        <v>14</v>
      </c>
      <c r="H350" t="s">
        <v>26</v>
      </c>
      <c r="I350" t="s">
        <v>16</v>
      </c>
      <c r="J350" s="2">
        <v>28</v>
      </c>
    </row>
    <row r="351" spans="1:10">
      <c r="A351" t="s">
        <v>700</v>
      </c>
      <c r="B351" t="s">
        <v>697</v>
      </c>
      <c r="C351" t="s">
        <v>701</v>
      </c>
      <c r="D351" t="s">
        <v>38</v>
      </c>
      <c r="E351" t="s">
        <v>14</v>
      </c>
      <c r="F351">
        <v>2</v>
      </c>
      <c r="G351" s="2">
        <v>9</v>
      </c>
      <c r="H351" t="s">
        <v>26</v>
      </c>
      <c r="I351" t="s">
        <v>44</v>
      </c>
      <c r="J351" s="2">
        <v>18</v>
      </c>
    </row>
    <row r="352" spans="1:10">
      <c r="A352" t="s">
        <v>702</v>
      </c>
      <c r="B352" t="s">
        <v>697</v>
      </c>
      <c r="C352" t="s">
        <v>703</v>
      </c>
      <c r="D352" t="s">
        <v>21</v>
      </c>
      <c r="E352" t="s">
        <v>14</v>
      </c>
      <c r="F352">
        <v>1</v>
      </c>
      <c r="G352" s="2">
        <v>12</v>
      </c>
      <c r="H352" t="s">
        <v>26</v>
      </c>
      <c r="I352" t="s">
        <v>44</v>
      </c>
      <c r="J352" s="2">
        <v>12</v>
      </c>
    </row>
    <row r="353" spans="1:10">
      <c r="A353" t="s">
        <v>704</v>
      </c>
      <c r="B353" t="s">
        <v>697</v>
      </c>
      <c r="C353" t="s">
        <v>119</v>
      </c>
      <c r="D353" t="s">
        <v>35</v>
      </c>
      <c r="E353" t="s">
        <v>14</v>
      </c>
      <c r="F353">
        <v>1</v>
      </c>
      <c r="G353" s="2">
        <v>13</v>
      </c>
      <c r="H353" t="s">
        <v>15</v>
      </c>
      <c r="I353" t="s">
        <v>44</v>
      </c>
      <c r="J353" s="2">
        <v>13</v>
      </c>
    </row>
    <row r="354" spans="1:10">
      <c r="A354" t="s">
        <v>705</v>
      </c>
      <c r="B354" t="s">
        <v>697</v>
      </c>
      <c r="C354" t="s">
        <v>644</v>
      </c>
      <c r="D354" t="s">
        <v>62</v>
      </c>
      <c r="E354" t="s">
        <v>63</v>
      </c>
      <c r="F354">
        <v>1</v>
      </c>
      <c r="G354" s="2">
        <v>10</v>
      </c>
      <c r="H354" t="s">
        <v>15</v>
      </c>
      <c r="I354" t="s">
        <v>44</v>
      </c>
      <c r="J354" s="2">
        <v>10</v>
      </c>
    </row>
    <row r="355" spans="1:10">
      <c r="A355" t="s">
        <v>706</v>
      </c>
      <c r="B355" t="s">
        <v>697</v>
      </c>
      <c r="C355" t="s">
        <v>707</v>
      </c>
      <c r="D355" t="s">
        <v>35</v>
      </c>
      <c r="E355" t="s">
        <v>14</v>
      </c>
      <c r="F355">
        <v>1</v>
      </c>
      <c r="G355" s="2">
        <v>13</v>
      </c>
      <c r="H355" t="s">
        <v>15</v>
      </c>
      <c r="I355" t="s">
        <v>16</v>
      </c>
      <c r="J355" s="2">
        <v>13</v>
      </c>
    </row>
    <row r="356" spans="1:10">
      <c r="A356" t="s">
        <v>708</v>
      </c>
      <c r="B356" t="s">
        <v>697</v>
      </c>
      <c r="C356" t="s">
        <v>709</v>
      </c>
      <c r="D356" t="s">
        <v>13</v>
      </c>
      <c r="E356" t="s">
        <v>14</v>
      </c>
      <c r="F356">
        <v>2</v>
      </c>
      <c r="G356" s="2">
        <v>15</v>
      </c>
      <c r="H356" t="s">
        <v>26</v>
      </c>
      <c r="I356" t="s">
        <v>16</v>
      </c>
      <c r="J356" s="2">
        <v>30</v>
      </c>
    </row>
    <row r="357" spans="1:10">
      <c r="A357" t="s">
        <v>710</v>
      </c>
      <c r="B357" t="s">
        <v>697</v>
      </c>
      <c r="C357" t="s">
        <v>711</v>
      </c>
      <c r="D357" t="s">
        <v>21</v>
      </c>
      <c r="E357" t="s">
        <v>14</v>
      </c>
      <c r="F357">
        <v>1</v>
      </c>
      <c r="G357" s="2">
        <v>12</v>
      </c>
      <c r="H357" t="s">
        <v>26</v>
      </c>
      <c r="I357" t="s">
        <v>44</v>
      </c>
      <c r="J357" s="2">
        <v>12</v>
      </c>
    </row>
    <row r="358" spans="1:10">
      <c r="A358" t="s">
        <v>712</v>
      </c>
      <c r="B358" t="s">
        <v>697</v>
      </c>
      <c r="C358" t="s">
        <v>267</v>
      </c>
      <c r="D358" t="s">
        <v>24</v>
      </c>
      <c r="E358" t="s">
        <v>25</v>
      </c>
      <c r="F358">
        <v>1</v>
      </c>
      <c r="G358" s="2">
        <v>14</v>
      </c>
      <c r="H358" t="s">
        <v>26</v>
      </c>
      <c r="I358" t="s">
        <v>16</v>
      </c>
      <c r="J358" s="2">
        <v>14</v>
      </c>
    </row>
    <row r="359" spans="1:10">
      <c r="A359" t="s">
        <v>713</v>
      </c>
      <c r="B359" t="s">
        <v>697</v>
      </c>
      <c r="C359" t="s">
        <v>398</v>
      </c>
      <c r="D359" t="s">
        <v>51</v>
      </c>
      <c r="E359" t="s">
        <v>14</v>
      </c>
      <c r="F359">
        <v>2</v>
      </c>
      <c r="G359" s="2">
        <v>7</v>
      </c>
      <c r="H359" t="s">
        <v>26</v>
      </c>
      <c r="I359" t="s">
        <v>44</v>
      </c>
      <c r="J359" s="2">
        <v>14</v>
      </c>
    </row>
    <row r="360" spans="1:10">
      <c r="A360" t="s">
        <v>714</v>
      </c>
      <c r="B360" t="s">
        <v>697</v>
      </c>
      <c r="C360" t="s">
        <v>715</v>
      </c>
      <c r="D360" t="s">
        <v>62</v>
      </c>
      <c r="E360" t="s">
        <v>63</v>
      </c>
      <c r="F360">
        <v>1</v>
      </c>
      <c r="G360" s="2">
        <v>10</v>
      </c>
      <c r="H360" t="s">
        <v>15</v>
      </c>
      <c r="I360" t="s">
        <v>16</v>
      </c>
      <c r="J360" s="2">
        <v>10</v>
      </c>
    </row>
    <row r="361" spans="1:10">
      <c r="A361" t="s">
        <v>716</v>
      </c>
      <c r="B361" t="s">
        <v>697</v>
      </c>
      <c r="C361" t="s">
        <v>622</v>
      </c>
      <c r="D361" t="s">
        <v>24</v>
      </c>
      <c r="E361" t="s">
        <v>25</v>
      </c>
      <c r="F361">
        <v>1</v>
      </c>
      <c r="G361" s="2">
        <v>14</v>
      </c>
      <c r="H361" t="s">
        <v>26</v>
      </c>
      <c r="I361" t="s">
        <v>44</v>
      </c>
      <c r="J361" s="2">
        <v>14</v>
      </c>
    </row>
    <row r="362" spans="1:10">
      <c r="A362" t="s">
        <v>717</v>
      </c>
      <c r="B362" t="s">
        <v>697</v>
      </c>
      <c r="C362" t="s">
        <v>407</v>
      </c>
      <c r="D362" t="s">
        <v>115</v>
      </c>
      <c r="E362" t="s">
        <v>63</v>
      </c>
      <c r="F362">
        <v>2</v>
      </c>
      <c r="G362" s="2">
        <v>16</v>
      </c>
      <c r="H362" t="s">
        <v>15</v>
      </c>
      <c r="I362" t="s">
        <v>44</v>
      </c>
      <c r="J362" s="2">
        <v>32</v>
      </c>
    </row>
    <row r="363" spans="1:10">
      <c r="A363" t="s">
        <v>718</v>
      </c>
      <c r="B363" t="s">
        <v>697</v>
      </c>
      <c r="C363" t="s">
        <v>342</v>
      </c>
      <c r="D363" t="s">
        <v>105</v>
      </c>
      <c r="E363" t="s">
        <v>25</v>
      </c>
      <c r="F363">
        <v>2</v>
      </c>
      <c r="G363" s="2">
        <v>12</v>
      </c>
      <c r="H363" t="s">
        <v>15</v>
      </c>
      <c r="I363" t="s">
        <v>16</v>
      </c>
      <c r="J363" s="2">
        <v>24</v>
      </c>
    </row>
    <row r="364" spans="1:10">
      <c r="A364" t="s">
        <v>719</v>
      </c>
      <c r="B364" t="s">
        <v>697</v>
      </c>
      <c r="C364" t="s">
        <v>720</v>
      </c>
      <c r="D364" t="s">
        <v>72</v>
      </c>
      <c r="E364" t="s">
        <v>14</v>
      </c>
      <c r="F364">
        <v>2</v>
      </c>
      <c r="G364" s="2">
        <v>14</v>
      </c>
      <c r="H364" t="s">
        <v>15</v>
      </c>
      <c r="I364" t="s">
        <v>16</v>
      </c>
      <c r="J364" s="2">
        <v>28</v>
      </c>
    </row>
    <row r="365" spans="1:10">
      <c r="A365" t="s">
        <v>721</v>
      </c>
      <c r="B365" t="s">
        <v>697</v>
      </c>
      <c r="C365" t="s">
        <v>722</v>
      </c>
      <c r="D365" t="s">
        <v>62</v>
      </c>
      <c r="E365" t="s">
        <v>63</v>
      </c>
      <c r="F365">
        <v>1</v>
      </c>
      <c r="G365" s="2">
        <v>10</v>
      </c>
      <c r="H365" t="s">
        <v>26</v>
      </c>
      <c r="I365" t="s">
        <v>16</v>
      </c>
      <c r="J365" s="2">
        <v>10</v>
      </c>
    </row>
    <row r="366" spans="1:10">
      <c r="A366" t="s">
        <v>723</v>
      </c>
      <c r="B366" t="s">
        <v>697</v>
      </c>
      <c r="C366" t="s">
        <v>724</v>
      </c>
      <c r="D366" t="s">
        <v>51</v>
      </c>
      <c r="E366" t="s">
        <v>14</v>
      </c>
      <c r="F366">
        <v>1</v>
      </c>
      <c r="G366" s="2">
        <v>7</v>
      </c>
      <c r="I366" t="s">
        <v>44</v>
      </c>
      <c r="J366" s="2">
        <v>7</v>
      </c>
    </row>
    <row r="367" spans="1:10">
      <c r="A367" t="s">
        <v>725</v>
      </c>
      <c r="B367" t="s">
        <v>726</v>
      </c>
      <c r="C367" t="s">
        <v>727</v>
      </c>
      <c r="D367" t="s">
        <v>24</v>
      </c>
      <c r="E367" t="s">
        <v>25</v>
      </c>
      <c r="F367">
        <v>1</v>
      </c>
      <c r="G367" s="2">
        <v>14</v>
      </c>
      <c r="H367" t="s">
        <v>26</v>
      </c>
      <c r="I367" t="s">
        <v>44</v>
      </c>
      <c r="J367" s="2">
        <v>14</v>
      </c>
    </row>
    <row r="368" spans="1:10">
      <c r="A368" t="s">
        <v>728</v>
      </c>
      <c r="B368" t="s">
        <v>726</v>
      </c>
      <c r="C368" t="s">
        <v>729</v>
      </c>
      <c r="D368" t="s">
        <v>24</v>
      </c>
      <c r="E368" t="s">
        <v>25</v>
      </c>
      <c r="F368">
        <v>1</v>
      </c>
      <c r="G368" s="2">
        <v>14</v>
      </c>
      <c r="H368" t="s">
        <v>26</v>
      </c>
      <c r="I368" t="s">
        <v>44</v>
      </c>
      <c r="J368" s="2">
        <v>14</v>
      </c>
    </row>
    <row r="369" spans="1:10">
      <c r="A369" t="s">
        <v>730</v>
      </c>
      <c r="B369" t="s">
        <v>726</v>
      </c>
      <c r="C369" t="s">
        <v>731</v>
      </c>
      <c r="D369" t="s">
        <v>13</v>
      </c>
      <c r="E369" t="s">
        <v>14</v>
      </c>
      <c r="F369">
        <v>1</v>
      </c>
      <c r="G369" s="2">
        <v>15</v>
      </c>
      <c r="H369" t="s">
        <v>26</v>
      </c>
      <c r="I369" t="s">
        <v>16</v>
      </c>
      <c r="J369" s="2">
        <v>15</v>
      </c>
    </row>
    <row r="370" spans="1:10">
      <c r="A370" t="s">
        <v>732</v>
      </c>
      <c r="B370" t="s">
        <v>726</v>
      </c>
      <c r="C370" t="s">
        <v>146</v>
      </c>
      <c r="D370" t="s">
        <v>72</v>
      </c>
      <c r="E370" t="s">
        <v>14</v>
      </c>
      <c r="F370">
        <v>1</v>
      </c>
      <c r="G370" s="2">
        <v>14</v>
      </c>
      <c r="H370" t="s">
        <v>15</v>
      </c>
      <c r="I370" t="s">
        <v>44</v>
      </c>
      <c r="J370" s="2">
        <v>14</v>
      </c>
    </row>
    <row r="371" spans="1:10">
      <c r="A371" t="s">
        <v>733</v>
      </c>
      <c r="B371" t="s">
        <v>726</v>
      </c>
      <c r="C371" t="s">
        <v>514</v>
      </c>
      <c r="D371" t="s">
        <v>21</v>
      </c>
      <c r="E371" t="s">
        <v>14</v>
      </c>
      <c r="F371">
        <v>2</v>
      </c>
      <c r="G371" s="2">
        <v>12</v>
      </c>
      <c r="H371" t="s">
        <v>41</v>
      </c>
      <c r="I371" t="s">
        <v>44</v>
      </c>
      <c r="J371" s="2">
        <v>24</v>
      </c>
    </row>
    <row r="372" spans="1:10">
      <c r="A372" t="s">
        <v>734</v>
      </c>
      <c r="B372" t="s">
        <v>726</v>
      </c>
      <c r="C372" t="s">
        <v>735</v>
      </c>
      <c r="D372" t="s">
        <v>38</v>
      </c>
      <c r="E372" t="s">
        <v>14</v>
      </c>
      <c r="F372">
        <v>1</v>
      </c>
      <c r="G372" s="2">
        <v>9</v>
      </c>
      <c r="H372" t="s">
        <v>26</v>
      </c>
      <c r="I372" t="s">
        <v>16</v>
      </c>
      <c r="J372" s="2">
        <v>9</v>
      </c>
    </row>
    <row r="373" spans="1:10">
      <c r="A373" t="s">
        <v>736</v>
      </c>
      <c r="B373" t="s">
        <v>726</v>
      </c>
      <c r="C373" t="s">
        <v>737</v>
      </c>
      <c r="D373" t="s">
        <v>13</v>
      </c>
      <c r="E373" t="s">
        <v>14</v>
      </c>
      <c r="F373">
        <v>1</v>
      </c>
      <c r="G373" s="2">
        <v>15</v>
      </c>
      <c r="H373" t="s">
        <v>26</v>
      </c>
      <c r="I373" t="s">
        <v>16</v>
      </c>
      <c r="J373" s="2">
        <v>15</v>
      </c>
    </row>
    <row r="374" spans="1:10">
      <c r="A374" t="s">
        <v>738</v>
      </c>
      <c r="B374" t="s">
        <v>726</v>
      </c>
      <c r="C374" t="s">
        <v>407</v>
      </c>
      <c r="D374" t="s">
        <v>35</v>
      </c>
      <c r="E374" t="s">
        <v>14</v>
      </c>
      <c r="F374">
        <v>1</v>
      </c>
      <c r="G374" s="2">
        <v>13</v>
      </c>
      <c r="H374" t="s">
        <v>15</v>
      </c>
      <c r="I374" t="s">
        <v>44</v>
      </c>
      <c r="J374" s="2">
        <v>13</v>
      </c>
    </row>
    <row r="375" spans="1:10">
      <c r="A375" t="s">
        <v>739</v>
      </c>
      <c r="B375" t="s">
        <v>726</v>
      </c>
      <c r="C375" t="s">
        <v>740</v>
      </c>
      <c r="D375" t="s">
        <v>72</v>
      </c>
      <c r="E375" t="s">
        <v>14</v>
      </c>
      <c r="F375">
        <v>4</v>
      </c>
      <c r="G375" s="2">
        <v>14</v>
      </c>
      <c r="H375" t="s">
        <v>26</v>
      </c>
      <c r="I375" t="s">
        <v>44</v>
      </c>
      <c r="J375" s="2">
        <v>56</v>
      </c>
    </row>
    <row r="376" spans="1:10">
      <c r="A376" t="s">
        <v>741</v>
      </c>
      <c r="B376" t="s">
        <v>726</v>
      </c>
      <c r="C376" t="s">
        <v>742</v>
      </c>
      <c r="D376" t="s">
        <v>13</v>
      </c>
      <c r="E376" t="s">
        <v>14</v>
      </c>
      <c r="F376">
        <v>1</v>
      </c>
      <c r="G376" s="2">
        <v>15</v>
      </c>
      <c r="H376" t="s">
        <v>41</v>
      </c>
      <c r="I376" t="s">
        <v>44</v>
      </c>
      <c r="J376" s="2">
        <v>15</v>
      </c>
    </row>
    <row r="377" spans="1:10">
      <c r="A377" t="s">
        <v>743</v>
      </c>
      <c r="B377" t="s">
        <v>726</v>
      </c>
      <c r="C377" t="s">
        <v>192</v>
      </c>
      <c r="D377" t="s">
        <v>115</v>
      </c>
      <c r="E377" t="s">
        <v>63</v>
      </c>
      <c r="F377">
        <v>3</v>
      </c>
      <c r="G377" s="2">
        <v>16</v>
      </c>
      <c r="H377" t="s">
        <v>26</v>
      </c>
      <c r="I377" t="s">
        <v>16</v>
      </c>
      <c r="J377" s="2">
        <v>48</v>
      </c>
    </row>
    <row r="378" spans="1:10">
      <c r="A378" t="s">
        <v>744</v>
      </c>
      <c r="B378" t="s">
        <v>726</v>
      </c>
      <c r="C378" t="s">
        <v>745</v>
      </c>
      <c r="D378" t="s">
        <v>105</v>
      </c>
      <c r="E378" t="s">
        <v>25</v>
      </c>
      <c r="F378">
        <v>1</v>
      </c>
      <c r="G378" s="2">
        <v>12</v>
      </c>
      <c r="H378" t="s">
        <v>41</v>
      </c>
      <c r="I378" t="s">
        <v>16</v>
      </c>
      <c r="J378" s="2">
        <v>12</v>
      </c>
    </row>
    <row r="379" spans="1:10">
      <c r="A379" t="s">
        <v>746</v>
      </c>
      <c r="B379" t="s">
        <v>726</v>
      </c>
      <c r="C379" t="s">
        <v>747</v>
      </c>
      <c r="D379" t="s">
        <v>115</v>
      </c>
      <c r="E379" t="s">
        <v>63</v>
      </c>
      <c r="F379">
        <v>1</v>
      </c>
      <c r="G379" s="2">
        <v>16</v>
      </c>
      <c r="H379" t="s">
        <v>15</v>
      </c>
      <c r="I379" t="s">
        <v>44</v>
      </c>
      <c r="J379" s="2">
        <v>16</v>
      </c>
    </row>
    <row r="380" spans="1:10">
      <c r="A380" t="s">
        <v>748</v>
      </c>
      <c r="B380" t="s">
        <v>726</v>
      </c>
      <c r="C380" t="s">
        <v>749</v>
      </c>
      <c r="D380" t="s">
        <v>29</v>
      </c>
      <c r="E380" t="s">
        <v>30</v>
      </c>
      <c r="F380">
        <v>1</v>
      </c>
      <c r="G380" s="2">
        <v>9</v>
      </c>
      <c r="H380" t="s">
        <v>15</v>
      </c>
      <c r="I380" t="s">
        <v>44</v>
      </c>
      <c r="J380" s="2">
        <v>9</v>
      </c>
    </row>
    <row r="381" spans="1:10">
      <c r="A381" t="s">
        <v>750</v>
      </c>
      <c r="B381" t="s">
        <v>751</v>
      </c>
      <c r="C381" t="s">
        <v>288</v>
      </c>
      <c r="D381" t="s">
        <v>38</v>
      </c>
      <c r="E381" t="s">
        <v>14</v>
      </c>
      <c r="F381">
        <v>1</v>
      </c>
      <c r="G381" s="2">
        <v>9</v>
      </c>
      <c r="H381" t="s">
        <v>41</v>
      </c>
      <c r="I381" t="s">
        <v>44</v>
      </c>
      <c r="J381" s="2">
        <v>9</v>
      </c>
    </row>
    <row r="382" spans="1:10">
      <c r="A382" t="s">
        <v>752</v>
      </c>
      <c r="B382" t="s">
        <v>751</v>
      </c>
      <c r="C382" t="s">
        <v>753</v>
      </c>
      <c r="D382" t="s">
        <v>35</v>
      </c>
      <c r="E382" t="s">
        <v>14</v>
      </c>
      <c r="F382">
        <v>1</v>
      </c>
      <c r="G382" s="2">
        <v>13</v>
      </c>
      <c r="H382" t="s">
        <v>26</v>
      </c>
      <c r="I382" t="s">
        <v>44</v>
      </c>
      <c r="J382" s="2">
        <v>13</v>
      </c>
    </row>
    <row r="383" spans="1:10">
      <c r="A383" t="s">
        <v>754</v>
      </c>
      <c r="B383" t="s">
        <v>751</v>
      </c>
      <c r="C383" t="s">
        <v>637</v>
      </c>
      <c r="D383" t="s">
        <v>21</v>
      </c>
      <c r="E383" t="s">
        <v>14</v>
      </c>
      <c r="F383">
        <v>2</v>
      </c>
      <c r="G383" s="2">
        <v>12</v>
      </c>
      <c r="H383" t="s">
        <v>15</v>
      </c>
      <c r="I383" t="s">
        <v>16</v>
      </c>
      <c r="J383" s="2">
        <v>24</v>
      </c>
    </row>
    <row r="384" spans="1:10">
      <c r="A384" t="s">
        <v>755</v>
      </c>
      <c r="B384" t="s">
        <v>751</v>
      </c>
      <c r="C384" t="s">
        <v>756</v>
      </c>
      <c r="D384" t="s">
        <v>35</v>
      </c>
      <c r="E384" t="s">
        <v>14</v>
      </c>
      <c r="F384">
        <v>1</v>
      </c>
      <c r="G384" s="2">
        <v>13</v>
      </c>
      <c r="H384" t="s">
        <v>15</v>
      </c>
      <c r="I384" t="s">
        <v>44</v>
      </c>
      <c r="J384" s="2">
        <v>13</v>
      </c>
    </row>
    <row r="385" spans="1:10">
      <c r="A385" t="s">
        <v>757</v>
      </c>
      <c r="B385" t="s">
        <v>751</v>
      </c>
      <c r="C385" t="s">
        <v>758</v>
      </c>
      <c r="D385" t="s">
        <v>24</v>
      </c>
      <c r="E385" t="s">
        <v>25</v>
      </c>
      <c r="F385">
        <v>2</v>
      </c>
      <c r="G385" s="2">
        <v>14</v>
      </c>
      <c r="H385" t="s">
        <v>26</v>
      </c>
      <c r="I385" t="s">
        <v>44</v>
      </c>
      <c r="J385" s="2">
        <v>28</v>
      </c>
    </row>
    <row r="386" spans="1:10">
      <c r="A386" t="s">
        <v>759</v>
      </c>
      <c r="B386" t="s">
        <v>751</v>
      </c>
      <c r="C386" t="s">
        <v>760</v>
      </c>
      <c r="D386" t="s">
        <v>21</v>
      </c>
      <c r="E386" t="s">
        <v>14</v>
      </c>
      <c r="F386">
        <v>1</v>
      </c>
      <c r="G386" s="2">
        <v>12</v>
      </c>
      <c r="H386" t="s">
        <v>15</v>
      </c>
      <c r="I386" t="s">
        <v>44</v>
      </c>
      <c r="J386" s="2">
        <v>12</v>
      </c>
    </row>
    <row r="387" spans="1:10">
      <c r="A387" t="s">
        <v>761</v>
      </c>
      <c r="B387" t="s">
        <v>751</v>
      </c>
      <c r="C387" t="s">
        <v>639</v>
      </c>
      <c r="D387" t="s">
        <v>51</v>
      </c>
      <c r="E387" t="s">
        <v>14</v>
      </c>
      <c r="F387">
        <v>1</v>
      </c>
      <c r="G387" s="2">
        <v>7</v>
      </c>
      <c r="H387" t="s">
        <v>15</v>
      </c>
      <c r="I387" t="s">
        <v>44</v>
      </c>
      <c r="J387" s="2">
        <v>7</v>
      </c>
    </row>
    <row r="388" spans="1:10">
      <c r="A388" t="s">
        <v>762</v>
      </c>
      <c r="B388" t="s">
        <v>751</v>
      </c>
      <c r="C388" t="s">
        <v>566</v>
      </c>
      <c r="D388" t="s">
        <v>51</v>
      </c>
      <c r="E388" t="s">
        <v>14</v>
      </c>
      <c r="F388">
        <v>2</v>
      </c>
      <c r="G388" s="2">
        <v>7</v>
      </c>
      <c r="H388" t="s">
        <v>26</v>
      </c>
      <c r="I388" t="s">
        <v>16</v>
      </c>
      <c r="J388" s="2">
        <v>14</v>
      </c>
    </row>
    <row r="389" spans="1:10">
      <c r="A389" t="s">
        <v>763</v>
      </c>
      <c r="B389" t="s">
        <v>751</v>
      </c>
      <c r="C389" t="s">
        <v>764</v>
      </c>
      <c r="D389" t="s">
        <v>29</v>
      </c>
      <c r="E389" t="s">
        <v>30</v>
      </c>
      <c r="F389">
        <v>1</v>
      </c>
      <c r="G389" s="2">
        <v>9</v>
      </c>
      <c r="H389" t="s">
        <v>26</v>
      </c>
      <c r="I389" t="s">
        <v>44</v>
      </c>
      <c r="J389" s="2">
        <v>9</v>
      </c>
    </row>
    <row r="390" spans="1:10">
      <c r="A390" t="s">
        <v>765</v>
      </c>
      <c r="B390" t="s">
        <v>751</v>
      </c>
      <c r="C390" t="s">
        <v>766</v>
      </c>
      <c r="D390" t="s">
        <v>54</v>
      </c>
      <c r="E390" t="s">
        <v>30</v>
      </c>
      <c r="F390">
        <v>3</v>
      </c>
      <c r="G390" s="2">
        <v>8</v>
      </c>
      <c r="H390" t="s">
        <v>26</v>
      </c>
      <c r="I390" t="s">
        <v>44</v>
      </c>
      <c r="J390" s="2">
        <v>24</v>
      </c>
    </row>
    <row r="391" spans="1:10">
      <c r="A391" t="s">
        <v>767</v>
      </c>
      <c r="B391" t="s">
        <v>751</v>
      </c>
      <c r="C391" t="s">
        <v>277</v>
      </c>
      <c r="D391" t="s">
        <v>29</v>
      </c>
      <c r="E391" t="s">
        <v>30</v>
      </c>
      <c r="F391">
        <v>1</v>
      </c>
      <c r="G391" s="2">
        <v>9</v>
      </c>
      <c r="H391" t="s">
        <v>15</v>
      </c>
      <c r="I391" t="s">
        <v>16</v>
      </c>
      <c r="J391" s="2">
        <v>9</v>
      </c>
    </row>
    <row r="392" spans="1:10">
      <c r="A392" t="s">
        <v>768</v>
      </c>
      <c r="B392" t="s">
        <v>751</v>
      </c>
      <c r="C392" t="s">
        <v>769</v>
      </c>
      <c r="D392" t="s">
        <v>62</v>
      </c>
      <c r="E392" t="s">
        <v>63</v>
      </c>
      <c r="F392">
        <v>3</v>
      </c>
      <c r="G392" s="2">
        <v>10</v>
      </c>
      <c r="H392" t="s">
        <v>26</v>
      </c>
      <c r="I392" t="s">
        <v>44</v>
      </c>
      <c r="J392" s="2">
        <v>30</v>
      </c>
    </row>
    <row r="393" spans="1:10">
      <c r="A393" t="s">
        <v>770</v>
      </c>
      <c r="B393" t="s">
        <v>771</v>
      </c>
      <c r="C393" t="s">
        <v>772</v>
      </c>
      <c r="D393" t="s">
        <v>38</v>
      </c>
      <c r="E393" t="s">
        <v>14</v>
      </c>
      <c r="F393">
        <v>1</v>
      </c>
      <c r="G393" s="2">
        <v>9</v>
      </c>
      <c r="H393" t="s">
        <v>15</v>
      </c>
      <c r="I393" t="s">
        <v>16</v>
      </c>
      <c r="J393" s="2">
        <v>9</v>
      </c>
    </row>
    <row r="394" spans="1:10">
      <c r="A394" t="s">
        <v>773</v>
      </c>
      <c r="B394" t="s">
        <v>771</v>
      </c>
      <c r="C394" t="s">
        <v>774</v>
      </c>
      <c r="D394" t="s">
        <v>54</v>
      </c>
      <c r="E394" t="s">
        <v>30</v>
      </c>
      <c r="F394">
        <v>1</v>
      </c>
      <c r="G394" s="2">
        <v>8</v>
      </c>
      <c r="H394" t="s">
        <v>41</v>
      </c>
      <c r="I394" t="s">
        <v>16</v>
      </c>
      <c r="J394" s="2">
        <v>8</v>
      </c>
    </row>
    <row r="395" spans="1:10">
      <c r="A395" t="s">
        <v>775</v>
      </c>
      <c r="B395" t="s">
        <v>771</v>
      </c>
      <c r="C395" t="s">
        <v>776</v>
      </c>
      <c r="D395" t="s">
        <v>21</v>
      </c>
      <c r="E395" t="s">
        <v>14</v>
      </c>
      <c r="F395">
        <v>1</v>
      </c>
      <c r="G395" s="2">
        <v>12</v>
      </c>
      <c r="H395" t="s">
        <v>26</v>
      </c>
      <c r="I395" t="s">
        <v>16</v>
      </c>
      <c r="J395" s="2">
        <v>12</v>
      </c>
    </row>
    <row r="396" spans="1:10">
      <c r="A396" t="s">
        <v>777</v>
      </c>
      <c r="B396" t="s">
        <v>771</v>
      </c>
      <c r="C396" t="s">
        <v>778</v>
      </c>
      <c r="D396" t="s">
        <v>72</v>
      </c>
      <c r="E396" t="s">
        <v>14</v>
      </c>
      <c r="F396">
        <v>1</v>
      </c>
      <c r="G396" s="2">
        <v>14</v>
      </c>
      <c r="H396" t="s">
        <v>26</v>
      </c>
      <c r="I396" t="s">
        <v>16</v>
      </c>
      <c r="J396" s="2">
        <v>14</v>
      </c>
    </row>
    <row r="397" spans="1:10">
      <c r="A397" t="s">
        <v>779</v>
      </c>
      <c r="B397" t="s">
        <v>771</v>
      </c>
      <c r="C397" t="s">
        <v>780</v>
      </c>
      <c r="D397" t="s">
        <v>24</v>
      </c>
      <c r="E397" t="s">
        <v>25</v>
      </c>
      <c r="F397">
        <v>1</v>
      </c>
      <c r="G397" s="2">
        <v>14</v>
      </c>
      <c r="H397" t="s">
        <v>26</v>
      </c>
      <c r="I397" t="s">
        <v>16</v>
      </c>
      <c r="J397" s="2">
        <v>14</v>
      </c>
    </row>
    <row r="398" spans="1:10">
      <c r="A398" t="s">
        <v>781</v>
      </c>
      <c r="B398" t="s">
        <v>771</v>
      </c>
      <c r="C398" t="s">
        <v>782</v>
      </c>
      <c r="D398" t="s">
        <v>35</v>
      </c>
      <c r="E398" t="s">
        <v>14</v>
      </c>
      <c r="F398">
        <v>1</v>
      </c>
      <c r="G398" s="2">
        <v>13</v>
      </c>
      <c r="H398" t="s">
        <v>15</v>
      </c>
      <c r="I398" t="s">
        <v>44</v>
      </c>
      <c r="J398" s="2">
        <v>13</v>
      </c>
    </row>
    <row r="399" spans="1:10">
      <c r="A399" t="s">
        <v>783</v>
      </c>
      <c r="B399" t="s">
        <v>771</v>
      </c>
      <c r="C399" t="s">
        <v>735</v>
      </c>
      <c r="D399" t="s">
        <v>62</v>
      </c>
      <c r="E399" t="s">
        <v>63</v>
      </c>
      <c r="F399">
        <v>2</v>
      </c>
      <c r="G399" s="2">
        <v>10</v>
      </c>
      <c r="H399" t="s">
        <v>15</v>
      </c>
      <c r="I399" t="s">
        <v>16</v>
      </c>
      <c r="J399" s="2">
        <v>20</v>
      </c>
    </row>
    <row r="400" spans="1:10">
      <c r="A400" t="s">
        <v>784</v>
      </c>
      <c r="B400" t="s">
        <v>771</v>
      </c>
      <c r="C400" t="s">
        <v>785</v>
      </c>
      <c r="D400" t="s">
        <v>21</v>
      </c>
      <c r="E400" t="s">
        <v>14</v>
      </c>
      <c r="F400">
        <v>2</v>
      </c>
      <c r="G400" s="2">
        <v>12</v>
      </c>
      <c r="H400" t="s">
        <v>26</v>
      </c>
      <c r="I400" t="s">
        <v>44</v>
      </c>
      <c r="J400" s="2">
        <v>24</v>
      </c>
    </row>
    <row r="401" spans="1:10">
      <c r="A401" t="s">
        <v>786</v>
      </c>
      <c r="B401" t="s">
        <v>771</v>
      </c>
      <c r="C401" t="s">
        <v>415</v>
      </c>
      <c r="D401" t="s">
        <v>24</v>
      </c>
      <c r="E401" t="s">
        <v>25</v>
      </c>
      <c r="F401">
        <v>1</v>
      </c>
      <c r="G401" s="2">
        <v>14</v>
      </c>
      <c r="H401" t="s">
        <v>41</v>
      </c>
      <c r="I401" t="s">
        <v>16</v>
      </c>
      <c r="J401" s="2">
        <v>14</v>
      </c>
    </row>
    <row r="402" spans="1:10">
      <c r="A402" t="s">
        <v>787</v>
      </c>
      <c r="B402" t="s">
        <v>771</v>
      </c>
      <c r="C402" t="s">
        <v>788</v>
      </c>
      <c r="D402" t="s">
        <v>51</v>
      </c>
      <c r="E402" t="s">
        <v>14</v>
      </c>
      <c r="F402">
        <v>1</v>
      </c>
      <c r="G402" s="2">
        <v>7</v>
      </c>
      <c r="H402" t="s">
        <v>26</v>
      </c>
      <c r="I402" t="s">
        <v>44</v>
      </c>
      <c r="J402" s="2">
        <v>7</v>
      </c>
    </row>
    <row r="403" spans="1:10">
      <c r="A403" t="s">
        <v>789</v>
      </c>
      <c r="B403" t="s">
        <v>771</v>
      </c>
      <c r="C403" t="s">
        <v>790</v>
      </c>
      <c r="D403" t="s">
        <v>105</v>
      </c>
      <c r="E403" t="s">
        <v>25</v>
      </c>
      <c r="F403">
        <v>1</v>
      </c>
      <c r="G403" s="2">
        <v>12</v>
      </c>
      <c r="H403" t="s">
        <v>15</v>
      </c>
      <c r="I403" t="s">
        <v>44</v>
      </c>
      <c r="J403" s="2">
        <v>12</v>
      </c>
    </row>
    <row r="404" spans="1:10">
      <c r="A404" t="s">
        <v>791</v>
      </c>
      <c r="B404" t="s">
        <v>771</v>
      </c>
      <c r="C404" t="s">
        <v>792</v>
      </c>
      <c r="D404" t="s">
        <v>54</v>
      </c>
      <c r="E404" t="s">
        <v>30</v>
      </c>
      <c r="F404">
        <v>2</v>
      </c>
      <c r="G404" s="2">
        <v>8</v>
      </c>
      <c r="H404" t="s">
        <v>26</v>
      </c>
      <c r="I404" t="s">
        <v>16</v>
      </c>
      <c r="J404" s="2">
        <v>16</v>
      </c>
    </row>
    <row r="405" spans="1:10">
      <c r="A405" t="s">
        <v>793</v>
      </c>
      <c r="B405" t="s">
        <v>771</v>
      </c>
      <c r="C405" t="s">
        <v>720</v>
      </c>
      <c r="D405" t="s">
        <v>51</v>
      </c>
      <c r="E405" t="s">
        <v>14</v>
      </c>
      <c r="F405">
        <v>1</v>
      </c>
      <c r="G405" s="2">
        <v>7</v>
      </c>
      <c r="H405" t="s">
        <v>41</v>
      </c>
      <c r="I405" t="s">
        <v>44</v>
      </c>
      <c r="J405" s="2">
        <v>7</v>
      </c>
    </row>
    <row r="406" spans="1:10">
      <c r="A406" t="s">
        <v>794</v>
      </c>
      <c r="B406" t="s">
        <v>771</v>
      </c>
      <c r="C406" t="s">
        <v>795</v>
      </c>
      <c r="D406" t="s">
        <v>54</v>
      </c>
      <c r="E406" t="s">
        <v>30</v>
      </c>
      <c r="F406">
        <v>1</v>
      </c>
      <c r="G406" s="2">
        <v>8</v>
      </c>
      <c r="H406" t="s">
        <v>26</v>
      </c>
      <c r="I406" t="s">
        <v>16</v>
      </c>
      <c r="J406" s="2">
        <v>8</v>
      </c>
    </row>
    <row r="407" spans="1:10">
      <c r="A407" t="s">
        <v>796</v>
      </c>
      <c r="B407" t="s">
        <v>771</v>
      </c>
      <c r="C407" t="s">
        <v>797</v>
      </c>
      <c r="D407" t="s">
        <v>72</v>
      </c>
      <c r="E407" t="s">
        <v>14</v>
      </c>
      <c r="F407">
        <v>2</v>
      </c>
      <c r="G407" s="2">
        <v>14</v>
      </c>
      <c r="H407" t="s">
        <v>15</v>
      </c>
      <c r="I407" t="s">
        <v>16</v>
      </c>
      <c r="J407" s="2">
        <v>28</v>
      </c>
    </row>
    <row r="408" spans="1:10">
      <c r="A408" t="s">
        <v>798</v>
      </c>
      <c r="B408" t="s">
        <v>771</v>
      </c>
      <c r="C408" t="s">
        <v>799</v>
      </c>
      <c r="D408" t="s">
        <v>29</v>
      </c>
      <c r="E408" t="s">
        <v>30</v>
      </c>
      <c r="F408">
        <v>1</v>
      </c>
      <c r="G408" s="2">
        <v>9</v>
      </c>
      <c r="H408" t="s">
        <v>26</v>
      </c>
      <c r="I408" t="s">
        <v>44</v>
      </c>
      <c r="J408" s="2">
        <v>9</v>
      </c>
    </row>
    <row r="409" spans="1:10">
      <c r="A409" t="s">
        <v>800</v>
      </c>
      <c r="B409" t="s">
        <v>771</v>
      </c>
      <c r="C409" t="s">
        <v>801</v>
      </c>
      <c r="D409" t="s">
        <v>54</v>
      </c>
      <c r="E409" t="s">
        <v>30</v>
      </c>
      <c r="F409">
        <v>1</v>
      </c>
      <c r="G409" s="2">
        <v>8</v>
      </c>
      <c r="H409" t="s">
        <v>26</v>
      </c>
      <c r="I409" t="s">
        <v>44</v>
      </c>
      <c r="J409" s="2">
        <v>8</v>
      </c>
    </row>
    <row r="410" spans="1:10">
      <c r="A410" t="s">
        <v>802</v>
      </c>
      <c r="B410" t="s">
        <v>771</v>
      </c>
      <c r="C410" t="s">
        <v>383</v>
      </c>
      <c r="D410" t="s">
        <v>38</v>
      </c>
      <c r="E410" t="s">
        <v>14</v>
      </c>
      <c r="F410">
        <v>1</v>
      </c>
      <c r="G410" s="2">
        <v>9</v>
      </c>
      <c r="H410" t="s">
        <v>41</v>
      </c>
      <c r="I410" t="s">
        <v>44</v>
      </c>
      <c r="J410" s="2">
        <v>9</v>
      </c>
    </row>
    <row r="411" spans="1:10">
      <c r="A411" t="s">
        <v>803</v>
      </c>
      <c r="B411" t="s">
        <v>804</v>
      </c>
      <c r="C411" t="s">
        <v>284</v>
      </c>
      <c r="D411" t="s">
        <v>21</v>
      </c>
      <c r="E411" t="s">
        <v>14</v>
      </c>
      <c r="F411">
        <v>1</v>
      </c>
      <c r="G411" s="2">
        <v>12</v>
      </c>
      <c r="H411" t="s">
        <v>26</v>
      </c>
      <c r="I411" t="s">
        <v>16</v>
      </c>
      <c r="J411" s="2">
        <v>12</v>
      </c>
    </row>
    <row r="412" spans="1:10">
      <c r="A412" t="s">
        <v>805</v>
      </c>
      <c r="B412" t="s">
        <v>804</v>
      </c>
      <c r="C412" t="s">
        <v>806</v>
      </c>
      <c r="D412" t="s">
        <v>115</v>
      </c>
      <c r="E412" t="s">
        <v>63</v>
      </c>
      <c r="F412">
        <v>1</v>
      </c>
      <c r="G412" s="2">
        <v>16</v>
      </c>
      <c r="H412" t="s">
        <v>41</v>
      </c>
      <c r="I412" t="s">
        <v>44</v>
      </c>
      <c r="J412" s="2">
        <v>16</v>
      </c>
    </row>
    <row r="413" spans="1:10">
      <c r="A413" t="s">
        <v>807</v>
      </c>
      <c r="B413" t="s">
        <v>804</v>
      </c>
      <c r="C413" t="s">
        <v>703</v>
      </c>
      <c r="D413" t="s">
        <v>38</v>
      </c>
      <c r="E413" t="s">
        <v>14</v>
      </c>
      <c r="F413">
        <v>1</v>
      </c>
      <c r="G413" s="2">
        <v>9</v>
      </c>
      <c r="H413" t="s">
        <v>15</v>
      </c>
      <c r="I413" t="s">
        <v>44</v>
      </c>
      <c r="J413" s="2">
        <v>9</v>
      </c>
    </row>
    <row r="414" spans="1:10">
      <c r="A414" t="s">
        <v>808</v>
      </c>
      <c r="B414" t="s">
        <v>804</v>
      </c>
      <c r="C414" t="s">
        <v>298</v>
      </c>
      <c r="D414" t="s">
        <v>54</v>
      </c>
      <c r="E414" t="s">
        <v>30</v>
      </c>
      <c r="F414">
        <v>1</v>
      </c>
      <c r="G414" s="2">
        <v>8</v>
      </c>
      <c r="H414" t="s">
        <v>15</v>
      </c>
      <c r="I414" t="s">
        <v>44</v>
      </c>
      <c r="J414" s="2">
        <v>8</v>
      </c>
    </row>
    <row r="415" spans="1:10">
      <c r="A415" t="s">
        <v>809</v>
      </c>
      <c r="B415" t="s">
        <v>804</v>
      </c>
      <c r="C415" t="s">
        <v>810</v>
      </c>
      <c r="D415" t="s">
        <v>115</v>
      </c>
      <c r="E415" t="s">
        <v>63</v>
      </c>
      <c r="F415">
        <v>1</v>
      </c>
      <c r="G415" s="2">
        <v>16</v>
      </c>
      <c r="H415" t="s">
        <v>41</v>
      </c>
      <c r="I415" t="s">
        <v>44</v>
      </c>
      <c r="J415" s="2">
        <v>16</v>
      </c>
    </row>
    <row r="416" spans="1:10">
      <c r="A416" t="s">
        <v>811</v>
      </c>
      <c r="B416" t="s">
        <v>804</v>
      </c>
      <c r="C416" t="s">
        <v>812</v>
      </c>
      <c r="D416" t="s">
        <v>72</v>
      </c>
      <c r="E416" t="s">
        <v>14</v>
      </c>
      <c r="F416">
        <v>2</v>
      </c>
      <c r="G416" s="2">
        <v>14</v>
      </c>
      <c r="H416" t="s">
        <v>26</v>
      </c>
      <c r="I416" t="s">
        <v>44</v>
      </c>
      <c r="J416" s="2">
        <v>28</v>
      </c>
    </row>
    <row r="417" spans="1:10">
      <c r="A417" t="s">
        <v>813</v>
      </c>
      <c r="B417" t="s">
        <v>804</v>
      </c>
      <c r="C417" t="s">
        <v>814</v>
      </c>
      <c r="D417" t="s">
        <v>105</v>
      </c>
      <c r="E417" t="s">
        <v>25</v>
      </c>
      <c r="F417">
        <v>1</v>
      </c>
      <c r="G417" s="2">
        <v>12</v>
      </c>
      <c r="H417" t="s">
        <v>26</v>
      </c>
      <c r="I417" t="s">
        <v>44</v>
      </c>
      <c r="J417" s="2">
        <v>12</v>
      </c>
    </row>
    <row r="418" spans="1:10">
      <c r="A418" t="s">
        <v>815</v>
      </c>
      <c r="B418" t="s">
        <v>804</v>
      </c>
      <c r="C418" t="s">
        <v>528</v>
      </c>
      <c r="D418" t="s">
        <v>35</v>
      </c>
      <c r="E418" t="s">
        <v>14</v>
      </c>
      <c r="F418">
        <v>1</v>
      </c>
      <c r="G418" s="2">
        <v>13</v>
      </c>
      <c r="H418" t="s">
        <v>41</v>
      </c>
      <c r="I418" t="s">
        <v>16</v>
      </c>
      <c r="J418" s="2">
        <v>13</v>
      </c>
    </row>
    <row r="419" spans="1:10">
      <c r="A419" t="s">
        <v>816</v>
      </c>
      <c r="B419" t="s">
        <v>804</v>
      </c>
      <c r="C419" t="s">
        <v>817</v>
      </c>
      <c r="D419" t="s">
        <v>29</v>
      </c>
      <c r="E419" t="s">
        <v>30</v>
      </c>
      <c r="F419">
        <v>2</v>
      </c>
      <c r="G419" s="2">
        <v>9</v>
      </c>
      <c r="H419" t="s">
        <v>26</v>
      </c>
      <c r="I419" t="s">
        <v>16</v>
      </c>
      <c r="J419" s="2">
        <v>18</v>
      </c>
    </row>
    <row r="420" spans="1:10">
      <c r="A420" t="s">
        <v>818</v>
      </c>
      <c r="B420" t="s">
        <v>804</v>
      </c>
      <c r="C420" t="s">
        <v>819</v>
      </c>
      <c r="D420" t="s">
        <v>38</v>
      </c>
      <c r="E420" t="s">
        <v>14</v>
      </c>
      <c r="F420">
        <v>1</v>
      </c>
      <c r="G420" s="2">
        <v>9</v>
      </c>
      <c r="H420" t="s">
        <v>41</v>
      </c>
      <c r="I420" t="s">
        <v>16</v>
      </c>
      <c r="J420" s="2">
        <v>9</v>
      </c>
    </row>
    <row r="421" spans="1:10">
      <c r="A421" t="s">
        <v>820</v>
      </c>
      <c r="B421" t="s">
        <v>804</v>
      </c>
      <c r="C421" t="s">
        <v>653</v>
      </c>
      <c r="D421" t="s">
        <v>13</v>
      </c>
      <c r="E421" t="s">
        <v>14</v>
      </c>
      <c r="F421">
        <v>3</v>
      </c>
      <c r="G421" s="2">
        <v>15</v>
      </c>
      <c r="H421" t="s">
        <v>26</v>
      </c>
      <c r="I421" t="s">
        <v>16</v>
      </c>
      <c r="J421" s="2">
        <v>45</v>
      </c>
    </row>
    <row r="422" spans="1:10">
      <c r="A422" t="s">
        <v>821</v>
      </c>
      <c r="B422" t="s">
        <v>822</v>
      </c>
      <c r="C422" t="s">
        <v>469</v>
      </c>
      <c r="D422" t="s">
        <v>24</v>
      </c>
      <c r="E422" t="s">
        <v>25</v>
      </c>
      <c r="F422">
        <v>1</v>
      </c>
      <c r="G422" s="2">
        <v>14</v>
      </c>
      <c r="H422" t="s">
        <v>15</v>
      </c>
      <c r="I422" t="s">
        <v>44</v>
      </c>
      <c r="J422" s="2">
        <v>14</v>
      </c>
    </row>
    <row r="423" spans="1:10">
      <c r="A423" t="s">
        <v>823</v>
      </c>
      <c r="B423" t="s">
        <v>822</v>
      </c>
      <c r="C423" t="s">
        <v>824</v>
      </c>
      <c r="D423" t="s">
        <v>21</v>
      </c>
      <c r="E423" t="s">
        <v>14</v>
      </c>
      <c r="F423">
        <v>1</v>
      </c>
      <c r="G423" s="2">
        <v>12</v>
      </c>
      <c r="H423" t="s">
        <v>26</v>
      </c>
      <c r="I423" t="s">
        <v>16</v>
      </c>
      <c r="J423" s="2">
        <v>12</v>
      </c>
    </row>
    <row r="424" spans="1:10">
      <c r="A424" t="s">
        <v>825</v>
      </c>
      <c r="B424" t="s">
        <v>822</v>
      </c>
      <c r="C424" t="s">
        <v>562</v>
      </c>
      <c r="D424" t="s">
        <v>38</v>
      </c>
      <c r="E424" t="s">
        <v>14</v>
      </c>
      <c r="F424">
        <v>1</v>
      </c>
      <c r="G424" s="2">
        <v>9</v>
      </c>
      <c r="H424" t="s">
        <v>15</v>
      </c>
      <c r="I424" t="s">
        <v>16</v>
      </c>
      <c r="J424" s="2">
        <v>9</v>
      </c>
    </row>
    <row r="425" spans="1:10">
      <c r="A425" t="s">
        <v>826</v>
      </c>
      <c r="B425" t="s">
        <v>822</v>
      </c>
      <c r="C425" t="s">
        <v>827</v>
      </c>
      <c r="D425" t="s">
        <v>35</v>
      </c>
      <c r="E425" t="s">
        <v>14</v>
      </c>
      <c r="F425">
        <v>1</v>
      </c>
      <c r="G425" s="2">
        <v>13</v>
      </c>
      <c r="H425" t="s">
        <v>15</v>
      </c>
      <c r="I425" t="s">
        <v>44</v>
      </c>
      <c r="J425" s="2">
        <v>13</v>
      </c>
    </row>
    <row r="426" spans="1:10">
      <c r="A426" t="s">
        <v>828</v>
      </c>
      <c r="B426" t="s">
        <v>822</v>
      </c>
      <c r="C426" t="s">
        <v>829</v>
      </c>
      <c r="D426" t="s">
        <v>51</v>
      </c>
      <c r="E426" t="s">
        <v>14</v>
      </c>
      <c r="F426">
        <v>1</v>
      </c>
      <c r="G426" s="2">
        <v>7</v>
      </c>
      <c r="H426" t="s">
        <v>26</v>
      </c>
      <c r="I426" t="s">
        <v>44</v>
      </c>
      <c r="J426" s="2">
        <v>7</v>
      </c>
    </row>
    <row r="427" spans="1:10">
      <c r="A427" t="s">
        <v>830</v>
      </c>
      <c r="B427" t="s">
        <v>822</v>
      </c>
      <c r="C427" t="s">
        <v>649</v>
      </c>
      <c r="D427" t="s">
        <v>21</v>
      </c>
      <c r="E427" t="s">
        <v>14</v>
      </c>
      <c r="F427">
        <v>1</v>
      </c>
      <c r="G427" s="2">
        <v>12</v>
      </c>
      <c r="H427" t="s">
        <v>26</v>
      </c>
      <c r="I427" t="s">
        <v>16</v>
      </c>
      <c r="J427" s="2">
        <v>12</v>
      </c>
    </row>
    <row r="428" spans="1:10">
      <c r="A428" t="s">
        <v>831</v>
      </c>
      <c r="B428" t="s">
        <v>822</v>
      </c>
      <c r="C428" t="s">
        <v>362</v>
      </c>
      <c r="D428" t="s">
        <v>54</v>
      </c>
      <c r="E428" t="s">
        <v>30</v>
      </c>
      <c r="F428">
        <v>1</v>
      </c>
      <c r="G428" s="2">
        <v>8</v>
      </c>
      <c r="H428" t="s">
        <v>26</v>
      </c>
      <c r="I428" t="s">
        <v>44</v>
      </c>
      <c r="J428" s="2">
        <v>8</v>
      </c>
    </row>
    <row r="429" spans="1:10">
      <c r="A429" t="s">
        <v>832</v>
      </c>
      <c r="B429" t="s">
        <v>822</v>
      </c>
      <c r="C429" t="s">
        <v>362</v>
      </c>
      <c r="D429" t="s">
        <v>21</v>
      </c>
      <c r="E429" t="s">
        <v>14</v>
      </c>
      <c r="F429">
        <v>2</v>
      </c>
      <c r="G429" s="2">
        <v>12</v>
      </c>
      <c r="H429" t="s">
        <v>26</v>
      </c>
      <c r="I429" t="s">
        <v>16</v>
      </c>
      <c r="J429" s="2">
        <v>24</v>
      </c>
    </row>
    <row r="430" spans="1:10">
      <c r="A430" t="s">
        <v>833</v>
      </c>
      <c r="B430" t="s">
        <v>822</v>
      </c>
      <c r="C430" t="s">
        <v>104</v>
      </c>
      <c r="D430" t="s">
        <v>72</v>
      </c>
      <c r="E430" t="s">
        <v>14</v>
      </c>
      <c r="F430">
        <v>2</v>
      </c>
      <c r="G430" s="2">
        <v>14</v>
      </c>
      <c r="H430" t="s">
        <v>15</v>
      </c>
      <c r="I430" t="s">
        <v>16</v>
      </c>
      <c r="J430" s="2">
        <v>28</v>
      </c>
    </row>
    <row r="431" spans="1:10">
      <c r="A431" t="s">
        <v>834</v>
      </c>
      <c r="B431" t="s">
        <v>822</v>
      </c>
      <c r="C431" t="s">
        <v>742</v>
      </c>
      <c r="D431" t="s">
        <v>72</v>
      </c>
      <c r="E431" t="s">
        <v>14</v>
      </c>
      <c r="F431">
        <v>1</v>
      </c>
      <c r="G431" s="2">
        <v>14</v>
      </c>
      <c r="H431" t="s">
        <v>26</v>
      </c>
      <c r="I431" t="s">
        <v>44</v>
      </c>
      <c r="J431" s="2">
        <v>14</v>
      </c>
    </row>
    <row r="432" spans="1:10">
      <c r="A432" t="s">
        <v>835</v>
      </c>
      <c r="B432" t="s">
        <v>822</v>
      </c>
      <c r="C432" t="s">
        <v>192</v>
      </c>
      <c r="D432" t="s">
        <v>51</v>
      </c>
      <c r="E432" t="s">
        <v>14</v>
      </c>
      <c r="F432">
        <v>2</v>
      </c>
      <c r="G432" s="2">
        <v>7</v>
      </c>
      <c r="H432" t="s">
        <v>26</v>
      </c>
      <c r="I432" t="s">
        <v>16</v>
      </c>
      <c r="J432" s="2">
        <v>14</v>
      </c>
    </row>
    <row r="433" spans="1:10">
      <c r="A433" t="s">
        <v>836</v>
      </c>
      <c r="B433" t="s">
        <v>822</v>
      </c>
      <c r="C433" t="s">
        <v>634</v>
      </c>
      <c r="D433" t="s">
        <v>38</v>
      </c>
      <c r="E433" t="s">
        <v>14</v>
      </c>
      <c r="F433">
        <v>1</v>
      </c>
      <c r="G433" s="2">
        <v>9</v>
      </c>
      <c r="H433" t="s">
        <v>41</v>
      </c>
      <c r="I433" t="s">
        <v>16</v>
      </c>
      <c r="J433" s="2">
        <v>9</v>
      </c>
    </row>
    <row r="434" spans="1:10">
      <c r="A434" t="s">
        <v>837</v>
      </c>
      <c r="B434" t="s">
        <v>838</v>
      </c>
      <c r="C434" t="s">
        <v>839</v>
      </c>
      <c r="D434" t="s">
        <v>21</v>
      </c>
      <c r="E434" t="s">
        <v>14</v>
      </c>
      <c r="F434">
        <v>4</v>
      </c>
      <c r="G434" s="2">
        <v>12</v>
      </c>
      <c r="H434" t="s">
        <v>15</v>
      </c>
      <c r="I434" t="s">
        <v>16</v>
      </c>
      <c r="J434" s="2">
        <v>48</v>
      </c>
    </row>
    <row r="435" spans="1:10">
      <c r="A435" t="s">
        <v>840</v>
      </c>
      <c r="B435" t="s">
        <v>838</v>
      </c>
      <c r="C435" t="s">
        <v>760</v>
      </c>
      <c r="D435" t="s">
        <v>35</v>
      </c>
      <c r="E435" t="s">
        <v>14</v>
      </c>
      <c r="F435">
        <v>2</v>
      </c>
      <c r="G435" s="2">
        <v>13</v>
      </c>
      <c r="H435" t="s">
        <v>26</v>
      </c>
      <c r="I435" t="s">
        <v>44</v>
      </c>
      <c r="J435" s="2">
        <v>26</v>
      </c>
    </row>
    <row r="436" spans="1:10">
      <c r="A436" t="s">
        <v>841</v>
      </c>
      <c r="B436" t="s">
        <v>838</v>
      </c>
      <c r="C436" t="s">
        <v>205</v>
      </c>
      <c r="D436" t="s">
        <v>13</v>
      </c>
      <c r="E436" t="s">
        <v>14</v>
      </c>
      <c r="F436">
        <v>2</v>
      </c>
      <c r="G436" s="2">
        <v>15</v>
      </c>
      <c r="H436" t="s">
        <v>41</v>
      </c>
      <c r="I436" t="s">
        <v>16</v>
      </c>
      <c r="J436" s="2">
        <v>30</v>
      </c>
    </row>
    <row r="437" spans="1:10">
      <c r="A437" t="s">
        <v>842</v>
      </c>
      <c r="B437" t="s">
        <v>838</v>
      </c>
      <c r="C437" t="s">
        <v>241</v>
      </c>
      <c r="D437" t="s">
        <v>21</v>
      </c>
      <c r="E437" t="s">
        <v>14</v>
      </c>
      <c r="F437">
        <v>4</v>
      </c>
      <c r="G437" s="2">
        <v>12</v>
      </c>
      <c r="H437" t="s">
        <v>26</v>
      </c>
      <c r="I437" t="s">
        <v>16</v>
      </c>
      <c r="J437" s="2">
        <v>48</v>
      </c>
    </row>
    <row r="438" spans="1:10">
      <c r="A438" t="s">
        <v>843</v>
      </c>
      <c r="B438" t="s">
        <v>838</v>
      </c>
      <c r="C438" t="s">
        <v>267</v>
      </c>
      <c r="D438" t="s">
        <v>72</v>
      </c>
      <c r="E438" t="s">
        <v>14</v>
      </c>
      <c r="F438">
        <v>1</v>
      </c>
      <c r="G438" s="2">
        <v>14</v>
      </c>
      <c r="H438" t="s">
        <v>26</v>
      </c>
      <c r="I438" t="s">
        <v>16</v>
      </c>
      <c r="J438" s="2">
        <v>14</v>
      </c>
    </row>
    <row r="439" spans="1:10">
      <c r="A439" t="s">
        <v>844</v>
      </c>
      <c r="B439" t="s">
        <v>838</v>
      </c>
      <c r="C439" t="s">
        <v>525</v>
      </c>
      <c r="D439" t="s">
        <v>115</v>
      </c>
      <c r="E439" t="s">
        <v>63</v>
      </c>
      <c r="F439">
        <v>1</v>
      </c>
      <c r="G439" s="2">
        <v>16</v>
      </c>
      <c r="H439" t="s">
        <v>26</v>
      </c>
      <c r="I439" t="s">
        <v>44</v>
      </c>
      <c r="J439" s="2">
        <v>16</v>
      </c>
    </row>
    <row r="440" spans="1:10">
      <c r="A440" t="s">
        <v>845</v>
      </c>
      <c r="B440" t="s">
        <v>838</v>
      </c>
      <c r="C440" t="s">
        <v>846</v>
      </c>
      <c r="D440" t="s">
        <v>62</v>
      </c>
      <c r="E440" t="s">
        <v>63</v>
      </c>
      <c r="F440">
        <v>3</v>
      </c>
      <c r="G440" s="2">
        <v>10</v>
      </c>
      <c r="H440" t="s">
        <v>41</v>
      </c>
      <c r="I440" t="s">
        <v>16</v>
      </c>
      <c r="J440" s="2">
        <v>30</v>
      </c>
    </row>
    <row r="441" spans="1:10">
      <c r="A441" t="s">
        <v>847</v>
      </c>
      <c r="B441" t="s">
        <v>838</v>
      </c>
      <c r="C441" t="s">
        <v>328</v>
      </c>
      <c r="D441" t="s">
        <v>54</v>
      </c>
      <c r="E441" t="s">
        <v>30</v>
      </c>
      <c r="F441">
        <v>2</v>
      </c>
      <c r="G441" s="2">
        <v>8</v>
      </c>
      <c r="H441" t="s">
        <v>15</v>
      </c>
      <c r="I441" t="s">
        <v>44</v>
      </c>
      <c r="J441" s="2">
        <v>16</v>
      </c>
    </row>
    <row r="442" spans="1:10">
      <c r="A442" t="s">
        <v>848</v>
      </c>
      <c r="B442" t="s">
        <v>838</v>
      </c>
      <c r="C442" t="s">
        <v>849</v>
      </c>
      <c r="D442" t="s">
        <v>115</v>
      </c>
      <c r="E442" t="s">
        <v>63</v>
      </c>
      <c r="F442">
        <v>1</v>
      </c>
      <c r="G442" s="2">
        <v>16</v>
      </c>
      <c r="H442" t="s">
        <v>26</v>
      </c>
      <c r="I442" t="s">
        <v>44</v>
      </c>
      <c r="J442" s="2">
        <v>16</v>
      </c>
    </row>
    <row r="443" spans="1:10">
      <c r="A443" t="s">
        <v>850</v>
      </c>
      <c r="B443" t="s">
        <v>838</v>
      </c>
      <c r="C443" t="s">
        <v>851</v>
      </c>
      <c r="D443" t="s">
        <v>38</v>
      </c>
      <c r="E443" t="s">
        <v>14</v>
      </c>
      <c r="F443">
        <v>2</v>
      </c>
      <c r="G443" s="2">
        <v>9</v>
      </c>
      <c r="I443" t="s">
        <v>44</v>
      </c>
      <c r="J443" s="2">
        <v>18</v>
      </c>
    </row>
    <row r="444" spans="1:10">
      <c r="A444" t="s">
        <v>852</v>
      </c>
      <c r="B444" t="s">
        <v>853</v>
      </c>
      <c r="C444" t="s">
        <v>57</v>
      </c>
      <c r="D444" t="s">
        <v>35</v>
      </c>
      <c r="E444" t="s">
        <v>14</v>
      </c>
      <c r="F444">
        <v>1</v>
      </c>
      <c r="G444" s="2">
        <v>13</v>
      </c>
      <c r="H444" t="s">
        <v>26</v>
      </c>
      <c r="I444" t="s">
        <v>44</v>
      </c>
      <c r="J444" s="2">
        <v>13</v>
      </c>
    </row>
    <row r="445" spans="1:10">
      <c r="A445" t="s">
        <v>854</v>
      </c>
      <c r="B445" t="s">
        <v>853</v>
      </c>
      <c r="C445" t="s">
        <v>855</v>
      </c>
      <c r="D445" t="s">
        <v>29</v>
      </c>
      <c r="E445" t="s">
        <v>30</v>
      </c>
      <c r="F445">
        <v>1</v>
      </c>
      <c r="G445" s="2">
        <v>9</v>
      </c>
      <c r="H445" t="s">
        <v>15</v>
      </c>
      <c r="I445" t="s">
        <v>44</v>
      </c>
      <c r="J445" s="2">
        <v>9</v>
      </c>
    </row>
    <row r="446" spans="1:10">
      <c r="A446" t="s">
        <v>856</v>
      </c>
      <c r="B446" t="s">
        <v>853</v>
      </c>
      <c r="C446" t="s">
        <v>857</v>
      </c>
      <c r="D446" t="s">
        <v>38</v>
      </c>
      <c r="E446" t="s">
        <v>14</v>
      </c>
      <c r="F446">
        <v>1</v>
      </c>
      <c r="G446" s="2">
        <v>9</v>
      </c>
      <c r="H446" t="s">
        <v>26</v>
      </c>
      <c r="I446" t="s">
        <v>16</v>
      </c>
      <c r="J446" s="2">
        <v>9</v>
      </c>
    </row>
    <row r="447" spans="1:10">
      <c r="A447" t="s">
        <v>858</v>
      </c>
      <c r="B447" t="s">
        <v>853</v>
      </c>
      <c r="C447" t="s">
        <v>473</v>
      </c>
      <c r="D447" t="s">
        <v>115</v>
      </c>
      <c r="E447" t="s">
        <v>63</v>
      </c>
      <c r="F447">
        <v>1</v>
      </c>
      <c r="G447" s="2">
        <v>16</v>
      </c>
      <c r="H447" t="s">
        <v>26</v>
      </c>
      <c r="I447" t="s">
        <v>16</v>
      </c>
      <c r="J447" s="2">
        <v>16</v>
      </c>
    </row>
    <row r="448" spans="1:10">
      <c r="A448" t="s">
        <v>859</v>
      </c>
      <c r="B448" t="s">
        <v>853</v>
      </c>
      <c r="C448" t="s">
        <v>860</v>
      </c>
      <c r="D448" t="s">
        <v>38</v>
      </c>
      <c r="E448" t="s">
        <v>14</v>
      </c>
      <c r="F448">
        <v>2</v>
      </c>
      <c r="G448" s="2">
        <v>9</v>
      </c>
      <c r="H448" t="s">
        <v>26</v>
      </c>
      <c r="I448" t="s">
        <v>44</v>
      </c>
      <c r="J448" s="2">
        <v>18</v>
      </c>
    </row>
    <row r="449" spans="1:10">
      <c r="A449" t="s">
        <v>861</v>
      </c>
      <c r="B449" t="s">
        <v>853</v>
      </c>
      <c r="C449" t="s">
        <v>618</v>
      </c>
      <c r="D449" t="s">
        <v>62</v>
      </c>
      <c r="E449" t="s">
        <v>63</v>
      </c>
      <c r="F449">
        <v>2</v>
      </c>
      <c r="G449" s="2">
        <v>10</v>
      </c>
      <c r="H449" t="s">
        <v>26</v>
      </c>
      <c r="I449" t="s">
        <v>16</v>
      </c>
      <c r="J449" s="2">
        <v>20</v>
      </c>
    </row>
    <row r="450" spans="1:10">
      <c r="A450" t="s">
        <v>862</v>
      </c>
      <c r="B450" t="s">
        <v>853</v>
      </c>
      <c r="C450" t="s">
        <v>863</v>
      </c>
      <c r="D450" t="s">
        <v>115</v>
      </c>
      <c r="E450" t="s">
        <v>63</v>
      </c>
      <c r="F450">
        <v>3</v>
      </c>
      <c r="G450" s="2">
        <v>16</v>
      </c>
      <c r="H450" t="s">
        <v>41</v>
      </c>
      <c r="I450" t="s">
        <v>44</v>
      </c>
      <c r="J450" s="2">
        <v>48</v>
      </c>
    </row>
    <row r="451" spans="1:10">
      <c r="A451" t="s">
        <v>864</v>
      </c>
      <c r="B451" t="s">
        <v>853</v>
      </c>
      <c r="C451" t="s">
        <v>98</v>
      </c>
      <c r="D451" t="s">
        <v>21</v>
      </c>
      <c r="E451" t="s">
        <v>14</v>
      </c>
      <c r="F451">
        <v>3</v>
      </c>
      <c r="G451" s="2">
        <v>12</v>
      </c>
      <c r="H451" t="s">
        <v>26</v>
      </c>
      <c r="I451" t="s">
        <v>16</v>
      </c>
      <c r="J451" s="2">
        <v>36</v>
      </c>
    </row>
    <row r="452" spans="1:10">
      <c r="A452" t="s">
        <v>865</v>
      </c>
      <c r="B452" t="s">
        <v>853</v>
      </c>
      <c r="C452" t="s">
        <v>649</v>
      </c>
      <c r="D452" t="s">
        <v>115</v>
      </c>
      <c r="E452" t="s">
        <v>63</v>
      </c>
      <c r="F452">
        <v>1</v>
      </c>
      <c r="G452" s="2">
        <v>16</v>
      </c>
      <c r="H452" t="s">
        <v>26</v>
      </c>
      <c r="I452" t="s">
        <v>44</v>
      </c>
      <c r="J452" s="2">
        <v>16</v>
      </c>
    </row>
    <row r="453" spans="1:10">
      <c r="A453" t="s">
        <v>866</v>
      </c>
      <c r="B453" t="s">
        <v>853</v>
      </c>
      <c r="C453" t="s">
        <v>270</v>
      </c>
      <c r="D453" t="s">
        <v>54</v>
      </c>
      <c r="E453" t="s">
        <v>30</v>
      </c>
      <c r="F453">
        <v>1</v>
      </c>
      <c r="G453" s="2">
        <v>8</v>
      </c>
      <c r="H453" t="s">
        <v>26</v>
      </c>
      <c r="I453" t="s">
        <v>16</v>
      </c>
      <c r="J453" s="2">
        <v>8</v>
      </c>
    </row>
    <row r="454" spans="1:10">
      <c r="A454" t="s">
        <v>867</v>
      </c>
      <c r="B454" t="s">
        <v>853</v>
      </c>
      <c r="C454" t="s">
        <v>868</v>
      </c>
      <c r="D454" t="s">
        <v>105</v>
      </c>
      <c r="E454" t="s">
        <v>25</v>
      </c>
      <c r="F454">
        <v>1</v>
      </c>
      <c r="G454" s="2">
        <v>12</v>
      </c>
      <c r="H454" t="s">
        <v>15</v>
      </c>
      <c r="I454" t="s">
        <v>16</v>
      </c>
      <c r="J454" s="2">
        <v>12</v>
      </c>
    </row>
    <row r="455" spans="1:10">
      <c r="A455" t="s">
        <v>869</v>
      </c>
      <c r="B455" t="s">
        <v>853</v>
      </c>
      <c r="C455" t="s">
        <v>870</v>
      </c>
      <c r="D455" t="s">
        <v>35</v>
      </c>
      <c r="E455" t="s">
        <v>14</v>
      </c>
      <c r="F455">
        <v>3</v>
      </c>
      <c r="G455" s="2">
        <v>13</v>
      </c>
      <c r="H455" t="s">
        <v>41</v>
      </c>
      <c r="I455" t="s">
        <v>16</v>
      </c>
      <c r="J455" s="2">
        <v>39</v>
      </c>
    </row>
    <row r="456" spans="1:10">
      <c r="A456" t="s">
        <v>871</v>
      </c>
      <c r="B456" t="s">
        <v>853</v>
      </c>
      <c r="C456" t="s">
        <v>769</v>
      </c>
      <c r="D456" t="s">
        <v>29</v>
      </c>
      <c r="E456" t="s">
        <v>30</v>
      </c>
      <c r="F456">
        <v>2</v>
      </c>
      <c r="G456" s="2">
        <v>9</v>
      </c>
      <c r="H456" t="s">
        <v>26</v>
      </c>
      <c r="I456" t="s">
        <v>16</v>
      </c>
      <c r="J456" s="2">
        <v>18</v>
      </c>
    </row>
    <row r="457" spans="1:10">
      <c r="A457" t="s">
        <v>872</v>
      </c>
      <c r="B457" t="s">
        <v>853</v>
      </c>
      <c r="C457" t="s">
        <v>873</v>
      </c>
      <c r="D457" t="s">
        <v>35</v>
      </c>
      <c r="E457" t="s">
        <v>14</v>
      </c>
      <c r="F457">
        <v>2</v>
      </c>
      <c r="G457" s="2">
        <v>13</v>
      </c>
      <c r="H457" t="s">
        <v>41</v>
      </c>
      <c r="I457" t="s">
        <v>16</v>
      </c>
      <c r="J457" s="2">
        <v>26</v>
      </c>
    </row>
    <row r="458" spans="1:10">
      <c r="A458" t="s">
        <v>874</v>
      </c>
      <c r="B458" t="s">
        <v>853</v>
      </c>
      <c r="C458" t="s">
        <v>875</v>
      </c>
      <c r="D458" t="s">
        <v>21</v>
      </c>
      <c r="E458" t="s">
        <v>14</v>
      </c>
      <c r="F458">
        <v>1</v>
      </c>
      <c r="G458" s="2">
        <v>12</v>
      </c>
      <c r="H458" t="s">
        <v>26</v>
      </c>
      <c r="I458" t="s">
        <v>44</v>
      </c>
      <c r="J458" s="2">
        <v>12</v>
      </c>
    </row>
    <row r="459" spans="1:10">
      <c r="A459" t="s">
        <v>876</v>
      </c>
      <c r="B459" t="s">
        <v>853</v>
      </c>
      <c r="C459" t="s">
        <v>749</v>
      </c>
      <c r="D459" t="s">
        <v>51</v>
      </c>
      <c r="E459" t="s">
        <v>14</v>
      </c>
      <c r="F459">
        <v>1</v>
      </c>
      <c r="G459" s="2">
        <v>7</v>
      </c>
      <c r="H459" t="s">
        <v>41</v>
      </c>
      <c r="I459" t="s">
        <v>44</v>
      </c>
      <c r="J459" s="2">
        <v>7</v>
      </c>
    </row>
    <row r="460" spans="1:10">
      <c r="A460" t="s">
        <v>877</v>
      </c>
      <c r="B460" t="s">
        <v>853</v>
      </c>
      <c r="C460" t="s">
        <v>603</v>
      </c>
      <c r="D460" t="s">
        <v>38</v>
      </c>
      <c r="E460" t="s">
        <v>14</v>
      </c>
      <c r="F460">
        <v>1</v>
      </c>
      <c r="G460" s="2">
        <v>9</v>
      </c>
      <c r="H460" t="s">
        <v>26</v>
      </c>
      <c r="I460" t="s">
        <v>44</v>
      </c>
      <c r="J460" s="2">
        <v>9</v>
      </c>
    </row>
    <row r="461" spans="1:10">
      <c r="A461" t="s">
        <v>878</v>
      </c>
      <c r="B461" t="s">
        <v>853</v>
      </c>
      <c r="C461" t="s">
        <v>634</v>
      </c>
      <c r="D461" t="s">
        <v>72</v>
      </c>
      <c r="E461" t="s">
        <v>14</v>
      </c>
      <c r="F461">
        <v>1</v>
      </c>
      <c r="G461" s="2">
        <v>14</v>
      </c>
      <c r="H461" t="s">
        <v>41</v>
      </c>
      <c r="I461" t="s">
        <v>16</v>
      </c>
      <c r="J461" s="2">
        <v>14</v>
      </c>
    </row>
    <row r="462" spans="1:10">
      <c r="A462" t="s">
        <v>879</v>
      </c>
      <c r="B462" t="s">
        <v>853</v>
      </c>
      <c r="C462" t="s">
        <v>502</v>
      </c>
      <c r="D462" t="s">
        <v>115</v>
      </c>
      <c r="E462" t="s">
        <v>63</v>
      </c>
      <c r="F462">
        <v>1</v>
      </c>
      <c r="G462" s="2">
        <v>16</v>
      </c>
      <c r="H462" t="s">
        <v>26</v>
      </c>
      <c r="I462" t="s">
        <v>16</v>
      </c>
      <c r="J462" s="2">
        <v>16</v>
      </c>
    </row>
    <row r="463" spans="1:10">
      <c r="A463" t="s">
        <v>880</v>
      </c>
      <c r="B463" t="s">
        <v>881</v>
      </c>
      <c r="C463" t="s">
        <v>882</v>
      </c>
      <c r="D463" t="s">
        <v>29</v>
      </c>
      <c r="E463" t="s">
        <v>30</v>
      </c>
      <c r="F463">
        <v>2</v>
      </c>
      <c r="G463" s="2">
        <v>9</v>
      </c>
      <c r="H463" t="s">
        <v>26</v>
      </c>
      <c r="I463" t="s">
        <v>44</v>
      </c>
      <c r="J463" s="2">
        <v>18</v>
      </c>
    </row>
    <row r="464" spans="1:10">
      <c r="A464" t="s">
        <v>883</v>
      </c>
      <c r="B464" t="s">
        <v>881</v>
      </c>
      <c r="C464" t="s">
        <v>884</v>
      </c>
      <c r="D464" t="s">
        <v>115</v>
      </c>
      <c r="E464" t="s">
        <v>63</v>
      </c>
      <c r="F464">
        <v>4</v>
      </c>
      <c r="G464" s="2">
        <v>16</v>
      </c>
      <c r="H464" t="s">
        <v>26</v>
      </c>
      <c r="I464" t="s">
        <v>16</v>
      </c>
      <c r="J464" s="2">
        <v>64</v>
      </c>
    </row>
    <row r="465" spans="1:10">
      <c r="A465" t="s">
        <v>885</v>
      </c>
      <c r="B465" t="s">
        <v>881</v>
      </c>
      <c r="C465" t="s">
        <v>476</v>
      </c>
      <c r="D465" t="s">
        <v>62</v>
      </c>
      <c r="E465" t="s">
        <v>63</v>
      </c>
      <c r="F465">
        <v>1</v>
      </c>
      <c r="G465" s="2">
        <v>10</v>
      </c>
      <c r="H465" t="s">
        <v>26</v>
      </c>
      <c r="I465" t="s">
        <v>44</v>
      </c>
      <c r="J465" s="2">
        <v>10</v>
      </c>
    </row>
    <row r="466" spans="1:10">
      <c r="A466" t="s">
        <v>886</v>
      </c>
      <c r="B466" t="s">
        <v>881</v>
      </c>
      <c r="C466" t="s">
        <v>887</v>
      </c>
      <c r="D466" t="s">
        <v>21</v>
      </c>
      <c r="E466" t="s">
        <v>14</v>
      </c>
      <c r="F466">
        <v>1</v>
      </c>
      <c r="G466" s="2">
        <v>12</v>
      </c>
      <c r="H466" t="s">
        <v>41</v>
      </c>
      <c r="I466" t="s">
        <v>44</v>
      </c>
      <c r="J466" s="2">
        <v>12</v>
      </c>
    </row>
    <row r="467" spans="1:10">
      <c r="A467" t="s">
        <v>888</v>
      </c>
      <c r="B467" t="s">
        <v>881</v>
      </c>
      <c r="C467" t="s">
        <v>512</v>
      </c>
      <c r="D467" t="s">
        <v>38</v>
      </c>
      <c r="E467" t="s">
        <v>14</v>
      </c>
      <c r="F467">
        <v>1</v>
      </c>
      <c r="G467" s="2">
        <v>9</v>
      </c>
      <c r="H467" t="s">
        <v>15</v>
      </c>
      <c r="I467" t="s">
        <v>44</v>
      </c>
      <c r="J467" s="2">
        <v>9</v>
      </c>
    </row>
    <row r="468" spans="1:10">
      <c r="A468" t="s">
        <v>889</v>
      </c>
      <c r="B468" t="s">
        <v>881</v>
      </c>
      <c r="C468" t="s">
        <v>203</v>
      </c>
      <c r="D468" t="s">
        <v>51</v>
      </c>
      <c r="E468" t="s">
        <v>14</v>
      </c>
      <c r="F468">
        <v>1</v>
      </c>
      <c r="G468" s="2">
        <v>7</v>
      </c>
      <c r="H468" t="s">
        <v>26</v>
      </c>
      <c r="I468" t="s">
        <v>16</v>
      </c>
      <c r="J468" s="2">
        <v>7</v>
      </c>
    </row>
    <row r="469" spans="1:10">
      <c r="A469" t="s">
        <v>890</v>
      </c>
      <c r="B469" t="s">
        <v>881</v>
      </c>
      <c r="C469" t="s">
        <v>98</v>
      </c>
      <c r="D469" t="s">
        <v>21</v>
      </c>
      <c r="E469" t="s">
        <v>14</v>
      </c>
      <c r="F469">
        <v>1</v>
      </c>
      <c r="G469" s="2">
        <v>12</v>
      </c>
      <c r="H469" t="s">
        <v>26</v>
      </c>
      <c r="I469" t="s">
        <v>16</v>
      </c>
      <c r="J469" s="2">
        <v>12</v>
      </c>
    </row>
    <row r="470" spans="1:10">
      <c r="A470" t="s">
        <v>891</v>
      </c>
      <c r="B470" t="s">
        <v>881</v>
      </c>
      <c r="C470" t="s">
        <v>892</v>
      </c>
      <c r="D470" t="s">
        <v>21</v>
      </c>
      <c r="E470" t="s">
        <v>14</v>
      </c>
      <c r="F470">
        <v>1</v>
      </c>
      <c r="G470" s="2">
        <v>12</v>
      </c>
      <c r="H470" t="s">
        <v>41</v>
      </c>
      <c r="I470" t="s">
        <v>44</v>
      </c>
      <c r="J470" s="2">
        <v>12</v>
      </c>
    </row>
    <row r="471" spans="1:10">
      <c r="A471" t="s">
        <v>893</v>
      </c>
      <c r="B471" t="s">
        <v>881</v>
      </c>
      <c r="C471" t="s">
        <v>894</v>
      </c>
      <c r="D471" t="s">
        <v>115</v>
      </c>
      <c r="E471" t="s">
        <v>63</v>
      </c>
      <c r="F471">
        <v>2</v>
      </c>
      <c r="G471" s="2">
        <v>16</v>
      </c>
      <c r="H471" t="s">
        <v>41</v>
      </c>
      <c r="I471" t="s">
        <v>44</v>
      </c>
      <c r="J471" s="2">
        <v>32</v>
      </c>
    </row>
    <row r="472" spans="1:10">
      <c r="A472" t="s">
        <v>895</v>
      </c>
      <c r="B472" t="s">
        <v>881</v>
      </c>
      <c r="C472" t="s">
        <v>896</v>
      </c>
      <c r="D472" t="s">
        <v>35</v>
      </c>
      <c r="E472" t="s">
        <v>14</v>
      </c>
      <c r="F472">
        <v>3</v>
      </c>
      <c r="G472" s="2">
        <v>13</v>
      </c>
      <c r="H472" t="s">
        <v>41</v>
      </c>
      <c r="I472" t="s">
        <v>44</v>
      </c>
      <c r="J472" s="2">
        <v>39</v>
      </c>
    </row>
    <row r="473" spans="1:10">
      <c r="A473" t="s">
        <v>897</v>
      </c>
      <c r="B473" t="s">
        <v>881</v>
      </c>
      <c r="C473" t="s">
        <v>898</v>
      </c>
      <c r="D473" t="s">
        <v>105</v>
      </c>
      <c r="E473" t="s">
        <v>25</v>
      </c>
      <c r="F473">
        <v>1</v>
      </c>
      <c r="G473" s="2">
        <v>12</v>
      </c>
      <c r="H473" t="s">
        <v>26</v>
      </c>
      <c r="I473" t="s">
        <v>16</v>
      </c>
      <c r="J473" s="2">
        <v>12</v>
      </c>
    </row>
    <row r="474" spans="1:10">
      <c r="A474" t="s">
        <v>899</v>
      </c>
      <c r="B474" t="s">
        <v>900</v>
      </c>
      <c r="C474" t="s">
        <v>901</v>
      </c>
      <c r="D474" t="s">
        <v>38</v>
      </c>
      <c r="E474" t="s">
        <v>14</v>
      </c>
      <c r="F474">
        <v>1</v>
      </c>
      <c r="G474" s="2">
        <v>9</v>
      </c>
      <c r="H474" t="s">
        <v>26</v>
      </c>
      <c r="I474" t="s">
        <v>44</v>
      </c>
      <c r="J474" s="2">
        <v>9</v>
      </c>
    </row>
    <row r="475" spans="1:10">
      <c r="A475" t="s">
        <v>902</v>
      </c>
      <c r="B475" t="s">
        <v>900</v>
      </c>
      <c r="C475" t="s">
        <v>639</v>
      </c>
      <c r="D475" t="s">
        <v>62</v>
      </c>
      <c r="E475" t="s">
        <v>63</v>
      </c>
      <c r="F475">
        <v>2</v>
      </c>
      <c r="G475" s="2">
        <v>10</v>
      </c>
      <c r="H475" t="s">
        <v>26</v>
      </c>
      <c r="I475" t="s">
        <v>16</v>
      </c>
      <c r="J475" s="2">
        <v>20</v>
      </c>
    </row>
    <row r="476" spans="1:10">
      <c r="A476" t="s">
        <v>903</v>
      </c>
      <c r="B476" t="s">
        <v>900</v>
      </c>
      <c r="C476" t="s">
        <v>904</v>
      </c>
      <c r="D476" t="s">
        <v>35</v>
      </c>
      <c r="E476" t="s">
        <v>14</v>
      </c>
      <c r="F476">
        <v>2</v>
      </c>
      <c r="G476" s="2">
        <v>13</v>
      </c>
      <c r="H476" t="s">
        <v>15</v>
      </c>
      <c r="I476" t="s">
        <v>16</v>
      </c>
      <c r="J476" s="2">
        <v>26</v>
      </c>
    </row>
    <row r="477" spans="1:10">
      <c r="A477" t="s">
        <v>905</v>
      </c>
      <c r="B477" t="s">
        <v>900</v>
      </c>
      <c r="C477" t="s">
        <v>906</v>
      </c>
      <c r="D477" t="s">
        <v>105</v>
      </c>
      <c r="E477" t="s">
        <v>25</v>
      </c>
      <c r="F477">
        <v>1</v>
      </c>
      <c r="G477" s="2">
        <v>12</v>
      </c>
      <c r="H477" t="s">
        <v>41</v>
      </c>
      <c r="I477" t="s">
        <v>16</v>
      </c>
      <c r="J477" s="2">
        <v>12</v>
      </c>
    </row>
    <row r="478" spans="1:10">
      <c r="A478" t="s">
        <v>907</v>
      </c>
      <c r="B478" t="s">
        <v>900</v>
      </c>
      <c r="C478" t="s">
        <v>362</v>
      </c>
      <c r="D478" t="s">
        <v>62</v>
      </c>
      <c r="E478" t="s">
        <v>63</v>
      </c>
      <c r="F478">
        <v>1</v>
      </c>
      <c r="G478" s="2">
        <v>10</v>
      </c>
      <c r="H478" t="s">
        <v>26</v>
      </c>
      <c r="I478" t="s">
        <v>16</v>
      </c>
      <c r="J478" s="2">
        <v>10</v>
      </c>
    </row>
    <row r="479" spans="1:10">
      <c r="A479" t="s">
        <v>908</v>
      </c>
      <c r="B479" t="s">
        <v>900</v>
      </c>
      <c r="C479" t="s">
        <v>909</v>
      </c>
      <c r="D479" t="s">
        <v>21</v>
      </c>
      <c r="E479" t="s">
        <v>14</v>
      </c>
      <c r="F479">
        <v>3</v>
      </c>
      <c r="G479" s="2">
        <v>12</v>
      </c>
      <c r="H479" t="s">
        <v>41</v>
      </c>
      <c r="I479" t="s">
        <v>16</v>
      </c>
      <c r="J479" s="2">
        <v>36</v>
      </c>
    </row>
    <row r="480" spans="1:10">
      <c r="A480" t="s">
        <v>910</v>
      </c>
      <c r="B480" t="s">
        <v>900</v>
      </c>
      <c r="C480" t="s">
        <v>911</v>
      </c>
      <c r="D480" t="s">
        <v>21</v>
      </c>
      <c r="E480" t="s">
        <v>14</v>
      </c>
      <c r="F480">
        <v>2</v>
      </c>
      <c r="G480" s="2">
        <v>12</v>
      </c>
      <c r="H480" t="s">
        <v>15</v>
      </c>
      <c r="I480" t="s">
        <v>44</v>
      </c>
      <c r="J480" s="2">
        <v>24</v>
      </c>
    </row>
    <row r="481" spans="1:10">
      <c r="A481" t="s">
        <v>912</v>
      </c>
      <c r="B481" t="s">
        <v>900</v>
      </c>
      <c r="C481" t="s">
        <v>342</v>
      </c>
      <c r="D481" t="s">
        <v>72</v>
      </c>
      <c r="E481" t="s">
        <v>14</v>
      </c>
      <c r="F481">
        <v>2</v>
      </c>
      <c r="G481" s="2">
        <v>14</v>
      </c>
      <c r="H481" t="s">
        <v>26</v>
      </c>
      <c r="I481" t="s">
        <v>44</v>
      </c>
      <c r="J481" s="2">
        <v>28</v>
      </c>
    </row>
    <row r="482" spans="1:10">
      <c r="A482" t="s">
        <v>913</v>
      </c>
      <c r="B482" t="s">
        <v>900</v>
      </c>
      <c r="C482" t="s">
        <v>914</v>
      </c>
      <c r="D482" t="s">
        <v>24</v>
      </c>
      <c r="E482" t="s">
        <v>25</v>
      </c>
      <c r="F482">
        <v>2</v>
      </c>
      <c r="G482" s="2">
        <v>14</v>
      </c>
      <c r="H482" t="s">
        <v>15</v>
      </c>
      <c r="I482" t="s">
        <v>16</v>
      </c>
      <c r="J482" s="2">
        <v>28</v>
      </c>
    </row>
    <row r="483" spans="1:10">
      <c r="A483" t="s">
        <v>915</v>
      </c>
      <c r="B483" t="s">
        <v>900</v>
      </c>
      <c r="C483" t="s">
        <v>914</v>
      </c>
      <c r="D483" t="s">
        <v>35</v>
      </c>
      <c r="E483" t="s">
        <v>14</v>
      </c>
      <c r="F483">
        <v>1</v>
      </c>
      <c r="G483" s="2">
        <v>13</v>
      </c>
      <c r="H483" t="s">
        <v>26</v>
      </c>
      <c r="I483" t="s">
        <v>16</v>
      </c>
      <c r="J483" s="2">
        <v>13</v>
      </c>
    </row>
    <row r="484" spans="1:10">
      <c r="A484" t="s">
        <v>916</v>
      </c>
      <c r="B484" t="s">
        <v>900</v>
      </c>
      <c r="C484" t="s">
        <v>917</v>
      </c>
      <c r="D484" t="s">
        <v>35</v>
      </c>
      <c r="E484" t="s">
        <v>14</v>
      </c>
      <c r="F484">
        <v>1</v>
      </c>
      <c r="G484" s="2">
        <v>13</v>
      </c>
      <c r="H484" t="s">
        <v>26</v>
      </c>
      <c r="I484" t="s">
        <v>16</v>
      </c>
      <c r="J484" s="2">
        <v>13</v>
      </c>
    </row>
    <row r="485" spans="1:10">
      <c r="A485" t="s">
        <v>918</v>
      </c>
      <c r="B485" t="s">
        <v>919</v>
      </c>
      <c r="C485" t="s">
        <v>758</v>
      </c>
      <c r="D485" t="s">
        <v>24</v>
      </c>
      <c r="E485" t="s">
        <v>25</v>
      </c>
      <c r="F485">
        <v>1</v>
      </c>
      <c r="G485" s="2">
        <v>14</v>
      </c>
      <c r="H485" t="s">
        <v>15</v>
      </c>
      <c r="I485" t="s">
        <v>44</v>
      </c>
      <c r="J485" s="2">
        <v>14</v>
      </c>
    </row>
    <row r="486" spans="1:10">
      <c r="A486" t="s">
        <v>920</v>
      </c>
      <c r="B486" t="s">
        <v>919</v>
      </c>
      <c r="C486" t="s">
        <v>476</v>
      </c>
      <c r="D486" t="s">
        <v>35</v>
      </c>
      <c r="E486" t="s">
        <v>14</v>
      </c>
      <c r="F486">
        <v>1</v>
      </c>
      <c r="G486" s="2">
        <v>13</v>
      </c>
      <c r="H486" t="s">
        <v>41</v>
      </c>
      <c r="I486" t="s">
        <v>44</v>
      </c>
      <c r="J486" s="2">
        <v>13</v>
      </c>
    </row>
    <row r="487" spans="1:10">
      <c r="A487" t="s">
        <v>921</v>
      </c>
      <c r="B487" t="s">
        <v>919</v>
      </c>
      <c r="C487" t="s">
        <v>922</v>
      </c>
      <c r="D487" t="s">
        <v>72</v>
      </c>
      <c r="E487" t="s">
        <v>14</v>
      </c>
      <c r="F487">
        <v>1</v>
      </c>
      <c r="G487" s="2">
        <v>13</v>
      </c>
      <c r="H487" t="s">
        <v>15</v>
      </c>
      <c r="I487" t="s">
        <v>16</v>
      </c>
      <c r="J487" s="2">
        <v>13</v>
      </c>
    </row>
    <row r="488" spans="1:10">
      <c r="A488" t="s">
        <v>923</v>
      </c>
      <c r="B488" t="s">
        <v>919</v>
      </c>
      <c r="C488" t="s">
        <v>319</v>
      </c>
      <c r="D488" t="s">
        <v>13</v>
      </c>
      <c r="E488" t="s">
        <v>14</v>
      </c>
      <c r="F488">
        <v>2</v>
      </c>
      <c r="G488" s="2">
        <v>15</v>
      </c>
      <c r="H488" t="s">
        <v>26</v>
      </c>
      <c r="I488" t="s">
        <v>16</v>
      </c>
      <c r="J488" s="2">
        <v>30</v>
      </c>
    </row>
    <row r="489" spans="1:10">
      <c r="A489" t="s">
        <v>924</v>
      </c>
      <c r="B489" t="s">
        <v>919</v>
      </c>
      <c r="C489" t="s">
        <v>925</v>
      </c>
      <c r="D489" t="s">
        <v>13</v>
      </c>
      <c r="E489" t="s">
        <v>14</v>
      </c>
      <c r="F489">
        <v>2</v>
      </c>
      <c r="G489" s="2">
        <v>15</v>
      </c>
      <c r="H489" t="s">
        <v>26</v>
      </c>
      <c r="I489" t="s">
        <v>44</v>
      </c>
      <c r="J489" s="2">
        <v>30</v>
      </c>
    </row>
    <row r="490" spans="1:10">
      <c r="A490" t="s">
        <v>926</v>
      </c>
      <c r="B490" t="s">
        <v>919</v>
      </c>
      <c r="C490" t="s">
        <v>303</v>
      </c>
      <c r="D490" t="s">
        <v>35</v>
      </c>
      <c r="E490" t="s">
        <v>14</v>
      </c>
      <c r="F490">
        <v>1</v>
      </c>
      <c r="G490" s="2">
        <v>13</v>
      </c>
      <c r="H490" t="s">
        <v>26</v>
      </c>
      <c r="I490" t="s">
        <v>16</v>
      </c>
      <c r="J490" s="2">
        <v>13</v>
      </c>
    </row>
    <row r="491" spans="1:10">
      <c r="A491" t="s">
        <v>927</v>
      </c>
      <c r="B491" t="s">
        <v>919</v>
      </c>
      <c r="C491" t="s">
        <v>520</v>
      </c>
      <c r="D491" t="s">
        <v>38</v>
      </c>
      <c r="E491" t="s">
        <v>14</v>
      </c>
      <c r="F491">
        <v>1</v>
      </c>
      <c r="G491" s="2">
        <v>9</v>
      </c>
      <c r="H491" t="s">
        <v>41</v>
      </c>
      <c r="I491" t="s">
        <v>16</v>
      </c>
      <c r="J491" s="2">
        <v>9</v>
      </c>
    </row>
    <row r="492" spans="1:10">
      <c r="A492" t="s">
        <v>928</v>
      </c>
      <c r="B492" t="s">
        <v>919</v>
      </c>
      <c r="C492" t="s">
        <v>929</v>
      </c>
      <c r="D492" t="s">
        <v>35</v>
      </c>
      <c r="E492" t="s">
        <v>14</v>
      </c>
      <c r="F492">
        <v>1</v>
      </c>
      <c r="G492" s="2">
        <v>13</v>
      </c>
      <c r="H492" t="s">
        <v>26</v>
      </c>
      <c r="I492" t="s">
        <v>16</v>
      </c>
      <c r="J492" s="2">
        <v>13</v>
      </c>
    </row>
    <row r="493" spans="1:10">
      <c r="A493" t="s">
        <v>930</v>
      </c>
      <c r="B493" t="s">
        <v>919</v>
      </c>
      <c r="C493" t="s">
        <v>931</v>
      </c>
      <c r="D493" t="s">
        <v>51</v>
      </c>
      <c r="E493" t="s">
        <v>14</v>
      </c>
      <c r="F493">
        <v>1</v>
      </c>
      <c r="G493" s="2">
        <v>7</v>
      </c>
      <c r="H493" t="s">
        <v>15</v>
      </c>
      <c r="I493" t="s">
        <v>16</v>
      </c>
      <c r="J493" s="2">
        <v>7</v>
      </c>
    </row>
    <row r="494" spans="1:10">
      <c r="A494" t="s">
        <v>932</v>
      </c>
      <c r="B494" t="s">
        <v>919</v>
      </c>
      <c r="C494" t="s">
        <v>933</v>
      </c>
      <c r="D494" t="s">
        <v>35</v>
      </c>
      <c r="E494" t="s">
        <v>14</v>
      </c>
      <c r="F494">
        <v>2</v>
      </c>
      <c r="G494" s="2">
        <v>13</v>
      </c>
      <c r="H494" t="s">
        <v>15</v>
      </c>
      <c r="I494" t="s">
        <v>16</v>
      </c>
      <c r="J494" s="2">
        <v>26</v>
      </c>
    </row>
    <row r="495" spans="1:10">
      <c r="A495" t="s">
        <v>934</v>
      </c>
      <c r="B495" t="s">
        <v>919</v>
      </c>
      <c r="C495" t="s">
        <v>935</v>
      </c>
      <c r="D495" t="s">
        <v>21</v>
      </c>
      <c r="E495" t="s">
        <v>14</v>
      </c>
      <c r="F495">
        <v>1</v>
      </c>
      <c r="G495" s="2">
        <v>12</v>
      </c>
      <c r="H495" t="s">
        <v>15</v>
      </c>
      <c r="I495" t="s">
        <v>16</v>
      </c>
      <c r="J495" s="2">
        <v>12</v>
      </c>
    </row>
    <row r="496" spans="1:10">
      <c r="A496" t="s">
        <v>936</v>
      </c>
      <c r="B496" t="s">
        <v>919</v>
      </c>
      <c r="C496" t="s">
        <v>462</v>
      </c>
      <c r="D496" t="s">
        <v>54</v>
      </c>
      <c r="E496" t="s">
        <v>30</v>
      </c>
      <c r="F496">
        <v>2</v>
      </c>
      <c r="G496" s="2">
        <v>8</v>
      </c>
      <c r="H496" t="s">
        <v>26</v>
      </c>
      <c r="I496" t="s">
        <v>16</v>
      </c>
      <c r="J496" s="2">
        <v>16</v>
      </c>
    </row>
    <row r="497" spans="1:10">
      <c r="A497" t="s">
        <v>937</v>
      </c>
      <c r="B497" t="s">
        <v>919</v>
      </c>
      <c r="C497" t="s">
        <v>938</v>
      </c>
      <c r="D497" t="s">
        <v>13</v>
      </c>
      <c r="E497" t="s">
        <v>14</v>
      </c>
      <c r="F497">
        <v>1</v>
      </c>
      <c r="G497" s="2">
        <v>15</v>
      </c>
      <c r="H497" t="s">
        <v>26</v>
      </c>
      <c r="I497" t="s">
        <v>16</v>
      </c>
      <c r="J497" s="2">
        <v>15</v>
      </c>
    </row>
    <row r="498" spans="1:10">
      <c r="A498" t="s">
        <v>939</v>
      </c>
      <c r="B498" t="s">
        <v>919</v>
      </c>
      <c r="C498" t="s">
        <v>940</v>
      </c>
      <c r="D498" t="s">
        <v>21</v>
      </c>
      <c r="E498" t="s">
        <v>14</v>
      </c>
      <c r="F498">
        <v>3</v>
      </c>
      <c r="G498" s="2">
        <v>12</v>
      </c>
      <c r="H498" t="s">
        <v>15</v>
      </c>
      <c r="I498" t="s">
        <v>44</v>
      </c>
      <c r="J498" s="2">
        <v>36</v>
      </c>
    </row>
    <row r="499" spans="1:10">
      <c r="A499" t="s">
        <v>941</v>
      </c>
      <c r="B499" t="s">
        <v>942</v>
      </c>
      <c r="C499" t="s">
        <v>371</v>
      </c>
      <c r="D499" t="s">
        <v>54</v>
      </c>
      <c r="E499" t="s">
        <v>30</v>
      </c>
      <c r="F499">
        <v>1</v>
      </c>
      <c r="G499" s="2">
        <v>8</v>
      </c>
      <c r="H499" t="s">
        <v>15</v>
      </c>
      <c r="I499" t="s">
        <v>44</v>
      </c>
      <c r="J499" s="2">
        <v>8</v>
      </c>
    </row>
    <row r="500" spans="1:10">
      <c r="A500" t="s">
        <v>943</v>
      </c>
      <c r="B500" t="s">
        <v>942</v>
      </c>
      <c r="C500" t="s">
        <v>944</v>
      </c>
      <c r="D500" t="s">
        <v>21</v>
      </c>
      <c r="E500" t="s">
        <v>14</v>
      </c>
      <c r="F500">
        <v>1</v>
      </c>
      <c r="G500" s="2">
        <v>12</v>
      </c>
      <c r="H500" t="s">
        <v>41</v>
      </c>
      <c r="I500" t="s">
        <v>44</v>
      </c>
      <c r="J500" s="2">
        <v>12</v>
      </c>
    </row>
    <row r="501" spans="1:10">
      <c r="A501" t="s">
        <v>945</v>
      </c>
      <c r="B501" t="s">
        <v>942</v>
      </c>
      <c r="C501" t="s">
        <v>884</v>
      </c>
      <c r="D501" t="s">
        <v>51</v>
      </c>
      <c r="E501" t="s">
        <v>14</v>
      </c>
      <c r="F501">
        <v>1</v>
      </c>
      <c r="G501" s="2">
        <v>7</v>
      </c>
      <c r="H501" t="s">
        <v>41</v>
      </c>
      <c r="I501" t="s">
        <v>16</v>
      </c>
      <c r="J501" s="2">
        <v>7</v>
      </c>
    </row>
    <row r="502" spans="1:10">
      <c r="A502" t="s">
        <v>946</v>
      </c>
      <c r="B502" t="s">
        <v>942</v>
      </c>
      <c r="C502" t="s">
        <v>458</v>
      </c>
      <c r="D502" t="s">
        <v>13</v>
      </c>
      <c r="E502" t="s">
        <v>14</v>
      </c>
      <c r="F502">
        <v>3</v>
      </c>
      <c r="G502" s="2">
        <v>15</v>
      </c>
      <c r="H502" t="s">
        <v>41</v>
      </c>
      <c r="I502" t="s">
        <v>44</v>
      </c>
      <c r="J502" s="2">
        <v>45</v>
      </c>
    </row>
    <row r="503" spans="1:10">
      <c r="A503" t="s">
        <v>947</v>
      </c>
      <c r="B503" t="s">
        <v>942</v>
      </c>
      <c r="C503" t="s">
        <v>948</v>
      </c>
      <c r="D503" t="s">
        <v>21</v>
      </c>
      <c r="E503" t="s">
        <v>14</v>
      </c>
      <c r="F503">
        <v>1</v>
      </c>
      <c r="G503" s="2">
        <v>12</v>
      </c>
      <c r="H503" t="s">
        <v>41</v>
      </c>
      <c r="I503" t="s">
        <v>44</v>
      </c>
      <c r="J503" s="2">
        <v>12</v>
      </c>
    </row>
    <row r="504" spans="1:10">
      <c r="A504" t="s">
        <v>949</v>
      </c>
      <c r="B504" t="s">
        <v>942</v>
      </c>
      <c r="C504" t="s">
        <v>950</v>
      </c>
      <c r="D504" t="s">
        <v>29</v>
      </c>
      <c r="E504" t="s">
        <v>30</v>
      </c>
      <c r="F504">
        <v>1</v>
      </c>
      <c r="G504" s="2">
        <v>9</v>
      </c>
      <c r="H504" t="s">
        <v>15</v>
      </c>
      <c r="I504" t="s">
        <v>44</v>
      </c>
      <c r="J504" s="2">
        <v>9</v>
      </c>
    </row>
    <row r="505" spans="1:10">
      <c r="A505" t="s">
        <v>951</v>
      </c>
      <c r="B505" t="s">
        <v>942</v>
      </c>
      <c r="C505" t="s">
        <v>538</v>
      </c>
      <c r="D505" t="s">
        <v>38</v>
      </c>
      <c r="E505" t="s">
        <v>14</v>
      </c>
      <c r="F505">
        <v>1</v>
      </c>
      <c r="G505" s="2">
        <v>9</v>
      </c>
      <c r="H505" t="s">
        <v>41</v>
      </c>
      <c r="I505" t="s">
        <v>16</v>
      </c>
      <c r="J505" s="2">
        <v>9</v>
      </c>
    </row>
    <row r="506" spans="1:10">
      <c r="A506" t="s">
        <v>952</v>
      </c>
      <c r="B506" t="s">
        <v>953</v>
      </c>
      <c r="C506" t="s">
        <v>371</v>
      </c>
      <c r="D506" t="s">
        <v>38</v>
      </c>
      <c r="E506" t="s">
        <v>14</v>
      </c>
      <c r="F506">
        <v>1</v>
      </c>
      <c r="G506" s="2">
        <v>9</v>
      </c>
      <c r="H506" t="s">
        <v>15</v>
      </c>
      <c r="I506" t="s">
        <v>44</v>
      </c>
      <c r="J506" s="2">
        <v>9</v>
      </c>
    </row>
    <row r="507" spans="1:10">
      <c r="A507" t="s">
        <v>954</v>
      </c>
      <c r="B507" t="s">
        <v>953</v>
      </c>
      <c r="C507" t="s">
        <v>114</v>
      </c>
      <c r="D507" t="s">
        <v>38</v>
      </c>
      <c r="E507" t="s">
        <v>14</v>
      </c>
      <c r="F507">
        <v>1</v>
      </c>
      <c r="G507" s="2">
        <v>9</v>
      </c>
      <c r="H507" t="s">
        <v>41</v>
      </c>
      <c r="I507" t="s">
        <v>16</v>
      </c>
      <c r="J507" s="2">
        <v>9</v>
      </c>
    </row>
    <row r="508" spans="1:10">
      <c r="A508" t="s">
        <v>955</v>
      </c>
      <c r="B508" t="s">
        <v>953</v>
      </c>
      <c r="C508" t="s">
        <v>956</v>
      </c>
      <c r="D508" t="s">
        <v>35</v>
      </c>
      <c r="E508" t="s">
        <v>14</v>
      </c>
      <c r="F508">
        <v>1</v>
      </c>
      <c r="G508" s="2">
        <v>13</v>
      </c>
      <c r="H508" t="s">
        <v>26</v>
      </c>
      <c r="I508" t="s">
        <v>16</v>
      </c>
      <c r="J508" s="2">
        <v>13</v>
      </c>
    </row>
    <row r="509" spans="1:10">
      <c r="A509" t="s">
        <v>957</v>
      </c>
      <c r="B509" t="s">
        <v>953</v>
      </c>
      <c r="C509" t="s">
        <v>958</v>
      </c>
      <c r="D509" t="s">
        <v>38</v>
      </c>
      <c r="E509" t="s">
        <v>14</v>
      </c>
      <c r="F509">
        <v>2</v>
      </c>
      <c r="G509" s="2">
        <v>9</v>
      </c>
      <c r="H509" t="s">
        <v>41</v>
      </c>
      <c r="I509" t="s">
        <v>44</v>
      </c>
      <c r="J509" s="2">
        <v>18</v>
      </c>
    </row>
    <row r="510" spans="1:10">
      <c r="A510" t="s">
        <v>959</v>
      </c>
      <c r="B510" t="s">
        <v>953</v>
      </c>
      <c r="C510" t="s">
        <v>960</v>
      </c>
      <c r="D510" t="s">
        <v>72</v>
      </c>
      <c r="E510" t="s">
        <v>14</v>
      </c>
      <c r="F510">
        <v>1</v>
      </c>
      <c r="G510" s="2">
        <v>14</v>
      </c>
      <c r="I510" t="s">
        <v>44</v>
      </c>
      <c r="J510" s="2">
        <v>14</v>
      </c>
    </row>
    <row r="511" spans="1:10">
      <c r="A511" t="s">
        <v>961</v>
      </c>
      <c r="B511" t="s">
        <v>953</v>
      </c>
      <c r="C511" t="s">
        <v>962</v>
      </c>
      <c r="D511" t="s">
        <v>35</v>
      </c>
      <c r="E511" t="s">
        <v>14</v>
      </c>
      <c r="F511">
        <v>1</v>
      </c>
      <c r="G511" s="2">
        <v>13</v>
      </c>
      <c r="H511" t="s">
        <v>15</v>
      </c>
      <c r="I511" t="s">
        <v>16</v>
      </c>
      <c r="J511" s="2">
        <v>13</v>
      </c>
    </row>
    <row r="512" spans="1:10">
      <c r="A512" t="s">
        <v>963</v>
      </c>
      <c r="B512" t="s">
        <v>953</v>
      </c>
      <c r="C512" t="s">
        <v>964</v>
      </c>
      <c r="D512" t="s">
        <v>13</v>
      </c>
      <c r="E512" t="s">
        <v>14</v>
      </c>
      <c r="F512">
        <v>3</v>
      </c>
      <c r="G512" s="2">
        <v>15</v>
      </c>
      <c r="H512" t="s">
        <v>26</v>
      </c>
      <c r="I512" t="s">
        <v>16</v>
      </c>
      <c r="J512" s="2">
        <v>45</v>
      </c>
    </row>
    <row r="513" spans="1:10">
      <c r="A513" t="s">
        <v>965</v>
      </c>
      <c r="B513" t="s">
        <v>953</v>
      </c>
      <c r="C513" t="s">
        <v>966</v>
      </c>
      <c r="D513" t="s">
        <v>38</v>
      </c>
      <c r="E513" t="s">
        <v>14</v>
      </c>
      <c r="F513">
        <v>2</v>
      </c>
      <c r="G513" s="2">
        <v>9</v>
      </c>
      <c r="H513" t="s">
        <v>15</v>
      </c>
      <c r="I513" t="s">
        <v>44</v>
      </c>
      <c r="J513" s="2">
        <v>18</v>
      </c>
    </row>
    <row r="514" spans="1:10">
      <c r="A514" t="s">
        <v>967</v>
      </c>
      <c r="B514" t="s">
        <v>953</v>
      </c>
      <c r="C514" t="s">
        <v>968</v>
      </c>
      <c r="D514" t="s">
        <v>54</v>
      </c>
      <c r="E514" t="s">
        <v>30</v>
      </c>
      <c r="F514">
        <v>1</v>
      </c>
      <c r="G514" s="2">
        <v>8</v>
      </c>
      <c r="H514" t="s">
        <v>26</v>
      </c>
      <c r="I514" t="s">
        <v>44</v>
      </c>
      <c r="J514" s="2">
        <v>8</v>
      </c>
    </row>
    <row r="515" spans="1:10">
      <c r="A515" t="s">
        <v>969</v>
      </c>
      <c r="B515" t="s">
        <v>953</v>
      </c>
      <c r="C515" t="s">
        <v>48</v>
      </c>
      <c r="D515" t="s">
        <v>29</v>
      </c>
      <c r="E515" t="s">
        <v>30</v>
      </c>
      <c r="F515">
        <v>1</v>
      </c>
      <c r="G515" s="2">
        <v>9</v>
      </c>
      <c r="H515" t="s">
        <v>41</v>
      </c>
      <c r="I515" t="s">
        <v>44</v>
      </c>
      <c r="J515" s="2">
        <v>9</v>
      </c>
    </row>
    <row r="516" spans="1:10">
      <c r="A516" t="s">
        <v>970</v>
      </c>
      <c r="B516" t="s">
        <v>953</v>
      </c>
      <c r="C516" t="s">
        <v>971</v>
      </c>
      <c r="D516" t="s">
        <v>105</v>
      </c>
      <c r="E516" t="s">
        <v>25</v>
      </c>
      <c r="F516">
        <v>1</v>
      </c>
      <c r="G516" s="2">
        <v>12</v>
      </c>
      <c r="H516" t="s">
        <v>41</v>
      </c>
      <c r="I516" t="s">
        <v>44</v>
      </c>
      <c r="J516" s="2">
        <v>12</v>
      </c>
    </row>
    <row r="517" spans="1:10">
      <c r="A517" t="s">
        <v>972</v>
      </c>
      <c r="B517" t="s">
        <v>953</v>
      </c>
      <c r="C517" t="s">
        <v>653</v>
      </c>
      <c r="D517" t="s">
        <v>72</v>
      </c>
      <c r="E517" t="s">
        <v>14</v>
      </c>
      <c r="F517">
        <v>3</v>
      </c>
      <c r="G517" s="2">
        <v>14</v>
      </c>
      <c r="H517" t="s">
        <v>41</v>
      </c>
      <c r="I517" t="s">
        <v>16</v>
      </c>
      <c r="J517" s="2">
        <v>42</v>
      </c>
    </row>
    <row r="518" spans="1:10">
      <c r="A518" t="s">
        <v>973</v>
      </c>
      <c r="B518" t="s">
        <v>974</v>
      </c>
      <c r="C518" t="s">
        <v>608</v>
      </c>
      <c r="D518" t="s">
        <v>21</v>
      </c>
      <c r="E518" t="s">
        <v>14</v>
      </c>
      <c r="F518">
        <v>1</v>
      </c>
      <c r="G518" s="2">
        <v>12</v>
      </c>
      <c r="H518" t="s">
        <v>26</v>
      </c>
      <c r="I518" t="s">
        <v>16</v>
      </c>
      <c r="J518" s="2">
        <v>12</v>
      </c>
    </row>
    <row r="519" spans="1:10">
      <c r="A519" t="s">
        <v>975</v>
      </c>
      <c r="B519" t="s">
        <v>974</v>
      </c>
      <c r="C519" t="s">
        <v>976</v>
      </c>
      <c r="D519" t="s">
        <v>21</v>
      </c>
      <c r="E519" t="s">
        <v>14</v>
      </c>
      <c r="F519">
        <v>3</v>
      </c>
      <c r="G519" s="2">
        <v>12</v>
      </c>
      <c r="H519" t="s">
        <v>26</v>
      </c>
      <c r="I519" t="s">
        <v>16</v>
      </c>
      <c r="J519" s="2">
        <v>36</v>
      </c>
    </row>
    <row r="520" spans="1:10">
      <c r="A520" t="s">
        <v>977</v>
      </c>
      <c r="B520" t="s">
        <v>974</v>
      </c>
      <c r="C520" t="s">
        <v>978</v>
      </c>
      <c r="D520" t="s">
        <v>62</v>
      </c>
      <c r="E520" t="s">
        <v>63</v>
      </c>
      <c r="F520">
        <v>1</v>
      </c>
      <c r="G520" s="2">
        <v>10</v>
      </c>
      <c r="H520" t="s">
        <v>15</v>
      </c>
      <c r="I520" t="s">
        <v>44</v>
      </c>
      <c r="J520" s="2">
        <v>10</v>
      </c>
    </row>
    <row r="521" spans="1:10">
      <c r="A521" t="s">
        <v>979</v>
      </c>
      <c r="B521" t="s">
        <v>974</v>
      </c>
      <c r="C521" t="s">
        <v>720</v>
      </c>
      <c r="D521" t="s">
        <v>35</v>
      </c>
      <c r="E521" t="s">
        <v>14</v>
      </c>
      <c r="F521">
        <v>1</v>
      </c>
      <c r="G521" s="2">
        <v>13</v>
      </c>
      <c r="H521" t="s">
        <v>41</v>
      </c>
      <c r="I521" t="s">
        <v>16</v>
      </c>
      <c r="J521" s="2">
        <v>13</v>
      </c>
    </row>
    <row r="522" spans="1:10">
      <c r="A522" t="s">
        <v>980</v>
      </c>
      <c r="B522" t="s">
        <v>974</v>
      </c>
      <c r="C522" t="s">
        <v>107</v>
      </c>
      <c r="D522" t="s">
        <v>72</v>
      </c>
      <c r="E522" t="s">
        <v>14</v>
      </c>
      <c r="F522">
        <v>1</v>
      </c>
      <c r="G522" s="2">
        <v>14</v>
      </c>
      <c r="H522" t="s">
        <v>41</v>
      </c>
      <c r="I522" t="s">
        <v>16</v>
      </c>
      <c r="J522" s="2">
        <v>14</v>
      </c>
    </row>
    <row r="523" spans="1:10">
      <c r="A523" t="s">
        <v>981</v>
      </c>
      <c r="B523" t="s">
        <v>974</v>
      </c>
      <c r="C523" t="s">
        <v>982</v>
      </c>
      <c r="D523" t="s">
        <v>35</v>
      </c>
      <c r="E523" t="s">
        <v>14</v>
      </c>
      <c r="F523">
        <v>3</v>
      </c>
      <c r="G523" s="2">
        <v>13</v>
      </c>
      <c r="H523" t="s">
        <v>26</v>
      </c>
      <c r="I523" t="s">
        <v>44</v>
      </c>
      <c r="J523" s="2">
        <v>39</v>
      </c>
    </row>
    <row r="524" spans="1:10">
      <c r="A524" t="s">
        <v>983</v>
      </c>
      <c r="B524" t="s">
        <v>974</v>
      </c>
      <c r="C524" t="s">
        <v>984</v>
      </c>
      <c r="D524" t="s">
        <v>62</v>
      </c>
      <c r="E524" t="s">
        <v>63</v>
      </c>
      <c r="F524">
        <v>1</v>
      </c>
      <c r="G524" s="2">
        <v>10</v>
      </c>
      <c r="H524" t="s">
        <v>41</v>
      </c>
      <c r="I524" t="s">
        <v>16</v>
      </c>
      <c r="J524" s="2">
        <v>10</v>
      </c>
    </row>
    <row r="525" spans="1:10">
      <c r="A525" t="s">
        <v>985</v>
      </c>
      <c r="B525" t="s">
        <v>974</v>
      </c>
      <c r="C525" t="s">
        <v>986</v>
      </c>
      <c r="D525" t="s">
        <v>54</v>
      </c>
      <c r="E525" t="s">
        <v>30</v>
      </c>
      <c r="F525">
        <v>1</v>
      </c>
      <c r="G525" s="2">
        <v>8</v>
      </c>
      <c r="H525" t="s">
        <v>41</v>
      </c>
      <c r="I525" t="s">
        <v>16</v>
      </c>
      <c r="J525" s="2">
        <v>8</v>
      </c>
    </row>
    <row r="526" spans="1:10">
      <c r="A526" t="s">
        <v>987</v>
      </c>
      <c r="B526" t="s">
        <v>974</v>
      </c>
      <c r="C526" t="s">
        <v>988</v>
      </c>
      <c r="D526" t="s">
        <v>38</v>
      </c>
      <c r="E526" t="s">
        <v>14</v>
      </c>
      <c r="F526">
        <v>1</v>
      </c>
      <c r="G526" s="2">
        <v>9</v>
      </c>
      <c r="H526" t="s">
        <v>41</v>
      </c>
      <c r="I526" t="s">
        <v>44</v>
      </c>
      <c r="J526" s="2">
        <v>9</v>
      </c>
    </row>
    <row r="527" spans="1:10">
      <c r="A527" t="s">
        <v>989</v>
      </c>
      <c r="B527" t="s">
        <v>990</v>
      </c>
      <c r="C527" t="s">
        <v>991</v>
      </c>
      <c r="D527" t="s">
        <v>29</v>
      </c>
      <c r="E527" t="s">
        <v>30</v>
      </c>
      <c r="F527">
        <v>1</v>
      </c>
      <c r="G527" s="2">
        <v>9</v>
      </c>
      <c r="H527" t="s">
        <v>26</v>
      </c>
      <c r="I527" t="s">
        <v>44</v>
      </c>
      <c r="J527" s="2">
        <v>9</v>
      </c>
    </row>
    <row r="528" spans="1:10">
      <c r="A528" t="s">
        <v>992</v>
      </c>
      <c r="B528" t="s">
        <v>990</v>
      </c>
      <c r="C528" t="s">
        <v>514</v>
      </c>
      <c r="D528" t="s">
        <v>54</v>
      </c>
      <c r="E528" t="s">
        <v>30</v>
      </c>
      <c r="F528">
        <v>2</v>
      </c>
      <c r="G528" s="2">
        <v>8</v>
      </c>
      <c r="H528" t="s">
        <v>41</v>
      </c>
      <c r="I528" t="s">
        <v>44</v>
      </c>
      <c r="J528" s="2"/>
    </row>
    <row r="529" spans="1:10">
      <c r="A529" t="s">
        <v>993</v>
      </c>
      <c r="B529" t="s">
        <v>990</v>
      </c>
      <c r="C529" t="s">
        <v>994</v>
      </c>
      <c r="D529" t="s">
        <v>21</v>
      </c>
      <c r="E529" t="s">
        <v>14</v>
      </c>
      <c r="F529">
        <v>1</v>
      </c>
      <c r="G529" s="2">
        <v>12</v>
      </c>
      <c r="H529" t="s">
        <v>15</v>
      </c>
      <c r="I529" t="s">
        <v>44</v>
      </c>
      <c r="J529" s="2">
        <v>12</v>
      </c>
    </row>
    <row r="530" spans="1:10">
      <c r="A530" t="s">
        <v>995</v>
      </c>
      <c r="B530" t="s">
        <v>990</v>
      </c>
      <c r="C530" t="s">
        <v>782</v>
      </c>
      <c r="D530" t="s">
        <v>51</v>
      </c>
      <c r="E530" t="s">
        <v>14</v>
      </c>
      <c r="F530">
        <v>1</v>
      </c>
      <c r="G530" s="2">
        <v>7</v>
      </c>
      <c r="H530" t="s">
        <v>41</v>
      </c>
      <c r="I530" t="s">
        <v>16</v>
      </c>
      <c r="J530" s="2">
        <v>7</v>
      </c>
    </row>
    <row r="531" spans="1:10">
      <c r="A531" t="s">
        <v>996</v>
      </c>
      <c r="B531" t="s">
        <v>990</v>
      </c>
      <c r="C531" t="s">
        <v>997</v>
      </c>
      <c r="D531" t="s">
        <v>72</v>
      </c>
      <c r="E531" t="s">
        <v>14</v>
      </c>
      <c r="F531">
        <v>1</v>
      </c>
      <c r="G531" s="2">
        <v>14</v>
      </c>
      <c r="H531" t="s">
        <v>15</v>
      </c>
      <c r="I531" t="s">
        <v>44</v>
      </c>
      <c r="J531" s="2">
        <v>14</v>
      </c>
    </row>
    <row r="532" spans="1:10">
      <c r="A532" t="s">
        <v>998</v>
      </c>
      <c r="B532" t="s">
        <v>990</v>
      </c>
      <c r="C532" t="s">
        <v>155</v>
      </c>
      <c r="D532" t="s">
        <v>21</v>
      </c>
      <c r="E532" t="s">
        <v>14</v>
      </c>
      <c r="F532">
        <v>1</v>
      </c>
      <c r="G532" s="2">
        <v>12</v>
      </c>
      <c r="H532" t="s">
        <v>26</v>
      </c>
      <c r="I532" t="s">
        <v>16</v>
      </c>
      <c r="J532" s="2">
        <v>12</v>
      </c>
    </row>
    <row r="533" spans="1:10">
      <c r="A533" t="s">
        <v>999</v>
      </c>
      <c r="B533" t="s">
        <v>990</v>
      </c>
      <c r="C533" t="s">
        <v>1000</v>
      </c>
      <c r="D533" t="s">
        <v>38</v>
      </c>
      <c r="E533" t="s">
        <v>14</v>
      </c>
      <c r="F533">
        <v>2</v>
      </c>
      <c r="G533" s="2">
        <v>9</v>
      </c>
      <c r="H533" t="s">
        <v>26</v>
      </c>
      <c r="I533" t="s">
        <v>44</v>
      </c>
      <c r="J533" s="2">
        <v>18</v>
      </c>
    </row>
    <row r="534" spans="1:10">
      <c r="A534" t="s">
        <v>1001</v>
      </c>
      <c r="B534" t="s">
        <v>990</v>
      </c>
      <c r="C534" t="s">
        <v>40</v>
      </c>
      <c r="D534" t="s">
        <v>35</v>
      </c>
      <c r="E534" t="s">
        <v>14</v>
      </c>
      <c r="F534">
        <v>1</v>
      </c>
      <c r="G534" s="2">
        <v>13</v>
      </c>
      <c r="H534" t="s">
        <v>26</v>
      </c>
      <c r="I534" t="s">
        <v>44</v>
      </c>
      <c r="J534" s="2">
        <v>13</v>
      </c>
    </row>
    <row r="535" spans="1:10">
      <c r="A535" t="s">
        <v>1002</v>
      </c>
      <c r="B535" t="s">
        <v>990</v>
      </c>
      <c r="C535" t="s">
        <v>1003</v>
      </c>
      <c r="D535" t="s">
        <v>13</v>
      </c>
      <c r="E535" t="s">
        <v>14</v>
      </c>
      <c r="F535">
        <v>1</v>
      </c>
      <c r="G535" s="2">
        <v>15</v>
      </c>
      <c r="H535" t="s">
        <v>26</v>
      </c>
      <c r="I535" t="s">
        <v>44</v>
      </c>
      <c r="J535" s="2">
        <v>15</v>
      </c>
    </row>
    <row r="536" spans="1:10">
      <c r="A536" t="s">
        <v>1004</v>
      </c>
      <c r="B536" t="s">
        <v>990</v>
      </c>
      <c r="C536" t="s">
        <v>868</v>
      </c>
      <c r="D536" t="s">
        <v>35</v>
      </c>
      <c r="E536" t="s">
        <v>14</v>
      </c>
      <c r="F536">
        <v>2</v>
      </c>
      <c r="G536" s="2">
        <v>13</v>
      </c>
      <c r="H536" t="s">
        <v>26</v>
      </c>
      <c r="I536" t="s">
        <v>44</v>
      </c>
      <c r="J536" s="2">
        <v>26</v>
      </c>
    </row>
    <row r="537" spans="1:10">
      <c r="A537" t="s">
        <v>1005</v>
      </c>
      <c r="B537" t="s">
        <v>990</v>
      </c>
      <c r="C537" t="s">
        <v>982</v>
      </c>
      <c r="D537" t="s">
        <v>51</v>
      </c>
      <c r="E537" t="s">
        <v>14</v>
      </c>
      <c r="F537">
        <v>1</v>
      </c>
      <c r="G537" s="2">
        <v>7</v>
      </c>
      <c r="H537" t="s">
        <v>26</v>
      </c>
      <c r="I537" t="s">
        <v>44</v>
      </c>
      <c r="J537" s="2">
        <v>7</v>
      </c>
    </row>
    <row r="538" spans="1:10">
      <c r="A538" t="s">
        <v>1006</v>
      </c>
      <c r="B538" t="s">
        <v>990</v>
      </c>
      <c r="C538" t="s">
        <v>135</v>
      </c>
      <c r="D538" t="s">
        <v>21</v>
      </c>
      <c r="E538" t="s">
        <v>14</v>
      </c>
      <c r="F538">
        <v>1</v>
      </c>
      <c r="G538" s="2">
        <v>12</v>
      </c>
      <c r="H538" t="s">
        <v>26</v>
      </c>
      <c r="I538" t="s">
        <v>16</v>
      </c>
      <c r="J538" s="2">
        <v>12</v>
      </c>
    </row>
    <row r="539" spans="1:10">
      <c r="A539" t="s">
        <v>1007</v>
      </c>
      <c r="B539" t="s">
        <v>1008</v>
      </c>
      <c r="C539" t="s">
        <v>1009</v>
      </c>
      <c r="D539" t="s">
        <v>54</v>
      </c>
      <c r="E539" t="s">
        <v>30</v>
      </c>
      <c r="F539">
        <v>2</v>
      </c>
      <c r="G539" s="2">
        <v>8</v>
      </c>
      <c r="H539" t="s">
        <v>26</v>
      </c>
      <c r="I539" t="s">
        <v>16</v>
      </c>
      <c r="J539" s="2">
        <v>16</v>
      </c>
    </row>
    <row r="540" spans="1:10">
      <c r="A540" t="s">
        <v>1010</v>
      </c>
      <c r="B540" t="s">
        <v>1008</v>
      </c>
      <c r="C540" t="s">
        <v>255</v>
      </c>
      <c r="D540" t="s">
        <v>105</v>
      </c>
      <c r="E540" t="s">
        <v>25</v>
      </c>
      <c r="F540">
        <v>1</v>
      </c>
      <c r="G540" s="2">
        <v>12</v>
      </c>
      <c r="H540" t="s">
        <v>26</v>
      </c>
      <c r="I540" t="s">
        <v>16</v>
      </c>
      <c r="J540" s="2">
        <v>12</v>
      </c>
    </row>
    <row r="541" spans="1:10">
      <c r="A541" t="s">
        <v>1011</v>
      </c>
      <c r="B541" t="s">
        <v>1008</v>
      </c>
      <c r="C541" t="s">
        <v>1012</v>
      </c>
      <c r="D541" t="s">
        <v>13</v>
      </c>
      <c r="E541" t="s">
        <v>14</v>
      </c>
      <c r="F541">
        <v>1</v>
      </c>
      <c r="G541" s="2">
        <v>15</v>
      </c>
      <c r="H541" t="s">
        <v>26</v>
      </c>
      <c r="I541" t="s">
        <v>16</v>
      </c>
      <c r="J541" s="2">
        <v>15</v>
      </c>
    </row>
    <row r="542" spans="1:10">
      <c r="A542" t="s">
        <v>1013</v>
      </c>
      <c r="B542" t="s">
        <v>1008</v>
      </c>
      <c r="C542" t="s">
        <v>1014</v>
      </c>
      <c r="D542" t="s">
        <v>21</v>
      </c>
      <c r="E542" t="s">
        <v>14</v>
      </c>
      <c r="F542">
        <v>1</v>
      </c>
      <c r="G542" s="2">
        <v>12</v>
      </c>
      <c r="H542" t="s">
        <v>26</v>
      </c>
      <c r="I542" t="s">
        <v>16</v>
      </c>
      <c r="J542" s="2">
        <v>12</v>
      </c>
    </row>
    <row r="543" spans="1:10">
      <c r="A543" t="s">
        <v>1015</v>
      </c>
      <c r="B543" t="s">
        <v>1008</v>
      </c>
      <c r="C543" t="s">
        <v>23</v>
      </c>
      <c r="D543" t="s">
        <v>21</v>
      </c>
      <c r="E543" t="s">
        <v>14</v>
      </c>
      <c r="F543">
        <v>2</v>
      </c>
      <c r="G543" s="2">
        <v>12</v>
      </c>
      <c r="H543" t="s">
        <v>41</v>
      </c>
      <c r="I543" t="s">
        <v>44</v>
      </c>
      <c r="J543" s="2">
        <v>24</v>
      </c>
    </row>
    <row r="544" spans="1:10">
      <c r="A544" t="s">
        <v>1016</v>
      </c>
      <c r="B544" t="s">
        <v>1008</v>
      </c>
      <c r="C544" t="s">
        <v>298</v>
      </c>
      <c r="D544" t="s">
        <v>13</v>
      </c>
      <c r="E544" t="s">
        <v>14</v>
      </c>
      <c r="F544">
        <v>1</v>
      </c>
      <c r="G544" s="2">
        <v>15</v>
      </c>
      <c r="H544" t="s">
        <v>26</v>
      </c>
      <c r="I544" t="s">
        <v>16</v>
      </c>
      <c r="J544" s="2">
        <v>15</v>
      </c>
    </row>
    <row r="545" spans="1:10">
      <c r="A545" t="s">
        <v>1017</v>
      </c>
      <c r="B545" t="s">
        <v>1008</v>
      </c>
      <c r="C545" t="s">
        <v>782</v>
      </c>
      <c r="D545" t="s">
        <v>35</v>
      </c>
      <c r="E545" t="s">
        <v>14</v>
      </c>
      <c r="F545">
        <v>1</v>
      </c>
      <c r="G545" s="2">
        <v>13</v>
      </c>
      <c r="H545" t="s">
        <v>26</v>
      </c>
      <c r="I545" t="s">
        <v>16</v>
      </c>
      <c r="J545" s="2">
        <v>13</v>
      </c>
    </row>
    <row r="546" spans="1:10">
      <c r="A546" t="s">
        <v>1018</v>
      </c>
      <c r="B546" t="s">
        <v>1008</v>
      </c>
      <c r="C546" t="s">
        <v>592</v>
      </c>
      <c r="D546" t="s">
        <v>24</v>
      </c>
      <c r="E546" t="s">
        <v>25</v>
      </c>
      <c r="F546">
        <v>3</v>
      </c>
      <c r="G546" s="2">
        <v>14</v>
      </c>
      <c r="H546" t="s">
        <v>26</v>
      </c>
      <c r="I546" t="s">
        <v>44</v>
      </c>
      <c r="J546" s="2">
        <v>42</v>
      </c>
    </row>
    <row r="547" spans="1:10">
      <c r="A547" t="s">
        <v>1019</v>
      </c>
      <c r="B547" t="s">
        <v>1008</v>
      </c>
      <c r="C547" t="s">
        <v>1020</v>
      </c>
      <c r="D547" t="s">
        <v>29</v>
      </c>
      <c r="E547" t="s">
        <v>30</v>
      </c>
      <c r="F547">
        <v>1</v>
      </c>
      <c r="G547" s="2">
        <v>9</v>
      </c>
      <c r="H547" t="s">
        <v>15</v>
      </c>
      <c r="I547" t="s">
        <v>44</v>
      </c>
      <c r="J547" s="2">
        <v>9</v>
      </c>
    </row>
    <row r="548" spans="1:10">
      <c r="A548" t="s">
        <v>1021</v>
      </c>
      <c r="B548" t="s">
        <v>1008</v>
      </c>
      <c r="C548" t="s">
        <v>966</v>
      </c>
      <c r="D548" t="s">
        <v>62</v>
      </c>
      <c r="E548" t="s">
        <v>63</v>
      </c>
      <c r="F548">
        <v>1</v>
      </c>
      <c r="G548" s="2">
        <v>10</v>
      </c>
      <c r="H548" t="s">
        <v>41</v>
      </c>
      <c r="I548" t="s">
        <v>16</v>
      </c>
      <c r="J548" s="2">
        <v>10</v>
      </c>
    </row>
    <row r="549" spans="1:10">
      <c r="A549" t="s">
        <v>1022</v>
      </c>
      <c r="B549" t="s">
        <v>1008</v>
      </c>
      <c r="C549" t="s">
        <v>360</v>
      </c>
      <c r="D549" t="s">
        <v>35</v>
      </c>
      <c r="E549" t="s">
        <v>14</v>
      </c>
      <c r="F549">
        <v>1</v>
      </c>
      <c r="G549" s="2">
        <v>13</v>
      </c>
      <c r="H549" t="s">
        <v>41</v>
      </c>
      <c r="I549" t="s">
        <v>44</v>
      </c>
      <c r="J549" s="2">
        <v>13</v>
      </c>
    </row>
    <row r="550" spans="1:10">
      <c r="A550" t="s">
        <v>1023</v>
      </c>
      <c r="B550" t="s">
        <v>1008</v>
      </c>
      <c r="C550" t="s">
        <v>935</v>
      </c>
      <c r="D550" t="s">
        <v>62</v>
      </c>
      <c r="E550" t="s">
        <v>63</v>
      </c>
      <c r="F550">
        <v>1</v>
      </c>
      <c r="G550" s="2">
        <v>10</v>
      </c>
      <c r="H550" t="s">
        <v>26</v>
      </c>
      <c r="I550" t="s">
        <v>16</v>
      </c>
      <c r="J550" s="2">
        <v>10</v>
      </c>
    </row>
    <row r="551" spans="1:10">
      <c r="A551" t="s">
        <v>1024</v>
      </c>
      <c r="B551" t="s">
        <v>1008</v>
      </c>
      <c r="C551" t="s">
        <v>325</v>
      </c>
      <c r="D551" t="s">
        <v>21</v>
      </c>
      <c r="E551" t="s">
        <v>14</v>
      </c>
      <c r="F551">
        <v>3</v>
      </c>
      <c r="G551" s="2">
        <v>12</v>
      </c>
      <c r="H551" t="s">
        <v>15</v>
      </c>
      <c r="I551" t="s">
        <v>44</v>
      </c>
      <c r="J551" s="2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Sales Data</vt:lpstr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_</cp:lastModifiedBy>
  <dcterms:created xsi:type="dcterms:W3CDTF">2026-10-19T06:07:44Z</dcterms:created>
  <dcterms:modified xsi:type="dcterms:W3CDTF">2026-10-19T06:07:44Z</dcterms:modified>
</cp:coreProperties>
</file>